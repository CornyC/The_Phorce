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testing_optimizers" sheetId="1" state="visible" r:id="rId2"/>
    <sheet name="testing_tolerance" sheetId="2" state="visible" r:id="rId3"/>
    <sheet name="testing_mp0mam" sheetId="3" state="visible" r:id="rId4"/>
    <sheet name="mp0mp0_noh" sheetId="4" state="visible" r:id="rId5"/>
    <sheet name="mp0mp0" sheetId="5" state="visible" r:id="rId6"/>
    <sheet name="mp0mam" sheetId="6" state="visible" r:id="rId7"/>
    <sheet name="mp1" sheetId="7" state="visible" r:id="rId8"/>
    <sheet name="mp1mp1" sheetId="8" state="visible" r:id="rId9"/>
    <sheet name="mp1mam" sheetId="9" state="visible" r:id="rId10"/>
    <sheet name="mp2" sheetId="10" state="visible" r:id="rId11"/>
    <sheet name="mp2mp2" sheetId="11" state="visible" r:id="rId12"/>
    <sheet name="mp2mam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<sst xmlns="http://schemas.openxmlformats.org/spreadsheetml/2006/main" count="531" uniqueCount="233">
  <si>
    <t xml:space="preserve">mp0mp0</t>
  </si>
  <si>
    <t xml:space="preserve">accidently read in wrong qm force, just ignore these params here…</t>
  </si>
  <si>
    <t xml:space="preserve">Optimizer</t>
  </si>
  <si>
    <t xml:space="preserve">tolerance</t>
  </si>
  <si>
    <t xml:space="preserve">status</t>
  </si>
  <si>
    <t xml:space="preserve">iterations</t>
  </si>
  <si>
    <t xml:space="preserve">in: reduced_indexed_ff_optimizable</t>
  </si>
  <si>
    <t xml:space="preserve">out: reduced_indexed_ff_optimizable</t>
  </si>
  <si>
    <t xml:space="preserve">optimizer output</t>
  </si>
  <si>
    <t xml:space="preserve">scipy BFGS</t>
  </si>
  <si>
    <t xml:space="preserve">Fail</t>
  </si>
  <si>
    <t xml:space="preserve">{'all': {'NonbondedForce': [array([[1, 'OG303', -0.56, 0.29399657698631193, 0.41840000000000005],
          [3, 'OG311', -0.622, 0.3144872475035398, 0.8037464],
          [5, 'OG2P1', -0.624, 0.30290556416771536, 0.50208]], dtype=object)]},
 'mol1': {'NonbondedForce': [array([[1, 'OG303', -0.56, 0.29399657698631193, 0.41840000000000005],
          [3, 'OG311', -0.622, 0.3144872475035398, 0.8037464],
          [5, 'OG2P1', -0.624, 0.30290556416771536, 0.50208]], dtype=object)]},
 'mol2': {'NonbondedForce': [array([[1, 'OG303', -0.56, 0.29399657698631193, 0.41840000000000005],
          [3, 'OG311', -0.622, 0.3144872475035398, 0.8037464],
          [5, 'OG2P1', -0.624, 0.30290556416771536, 0.50208]], dtype=object)]}}</t>
  </si>
  <si>
    <t xml:space="preserve">scipy Nelder-Mead</t>
  </si>
  <si>
    <t xml:space="preserve">Success</t>
  </si>
  <si>
    <t xml:space="preserve">{'all': {'NonbondedForce': [array([[1, 'OG303', -0.6375186472129056, 0.31583210392070504,
           0.06537530059614699],
          [3, 'OG311', -0.5453238812125675, 0.4246879873233009,
           0.015509331678341518],
          [5, 'OG2P1', -0.924736770727992, 0.31600015877927967,
           0.46615284485336334]], dtype=object)]},
 'mol1': {'NonbondedForce': [array([[1, 'OG303', -0.6375186472129056, 0.31583210392070504,
           0.06537530059614699],
          [3, 'OG311', -0.5453238812125675, 0.4246879873233009,
           0.015509331678341518],
          [5, 'OG2P1', -0.924736770727992, 0.31600015877927967,
           0.46615284485336334]], dtype=object)]},
 'mol2': {'NonbondedForce': [array([[1, 'OG303', -0.6375186472129056, 0.31583210392070504,
           0.06537530059614699],
          [3, 'OG311', -0.5453238812125675, 0.4246879873233009,
           0.015509331678341518],
          [5, 'OG2P1', -0.924736770727992, 0.31600015877927967,
           0.46615284485336334]], dtype=object)]}}</t>
  </si>
  <si>
    <t xml:space="preserve"> final_simplex: (array([[0.81131961, 0.12437871, 0.04161566, 0.75996542, 0.18422834,
        0.02153479, 1.2923256 , 0.12993837, 0.37285388],
       [0.81131961, 0.12437871, 0.04161566, 0.75996542, 0.18422834,
        0.02153479, 1.2923256 , 0.12993837, 0.37285388],
       [0.81131961, 0.12437871, 0.04161566, 0.75996542, 0.18422834,
        0.02153479, 1.2923256 , 0.12993837, 0.37285389],
       [0.81131961, 0.12437871, 0.04161566, 0.75996542, 0.18422834,
        0.02153479, 1.2923256 , 0.12993837, 0.37285388],
       [0.81131961, 0.12437871, 0.04161566, 0.75996542, 0.18422834,
        0.02153479, 1.2923256 , 0.12993837, 0.37285388],
       [0.81131961, 0.12437871, 0.04161566, 0.75996542, 0.18422834,
        0.02153479, 1.2923256 , 0.12993837, 0.37285388],
       [0.81131961, 0.12437871, 0.04161566, 0.75996542, 0.18422834,
        0.02153479, 1.2923256 , 0.12993837, 0.37285388],
       [0.81131961, 0.12437871, 0.04161566, 0.75996542, 0.18422834,
        0.02153479, 1.2923256 , 0.12993837, 0.37285388],
       [0.81131961, 0.12437871, 0.04161566, 0.75996542, 0.18422834,
        0.02153479, 1.2923256 , 0.12993837, 0.37285388],
       [0.81131961, 0.12437871, 0.04161566, 0.75996542, 0.18422834,
        0.02153479, 1.2923256 , 0.12993837, 0.37285388]]), array([0.01443642, 0.01443642, 0.01443642, 0.01443642, 0.01443642,
       0.01443642, 0.01443642, 0.01443642, 0.01443642, 0.01443642]))
           fun: 0.014436421982924946
       message: 'Optimization terminated successfully.'
          nfev: 3829
           nit: 2609
        status: 0
       success: True
             x: array([0.81131961, 0.12437871, 0.04161566, 0.75996542, 0.18422834,
       0.02153479, 1.2923256 , 0.12993837, 0.37285388])</t>
  </si>
  <si>
    <t xml:space="preserve">{'all': {'NonbondedForce': [array([[1, 'OG303', -0.6501951901706329, 0.34779671445663557,
           0.019304775369641113],
          [3, 'OG311', -0.5429025989066171, 0.3463255185680224,
           0.2469088656659774],
          [5, 'OG2P1', -0.9203269902263682, 0.3005396417908423,
           0.9499850641520631]], dtype=object)]},
 'mol1': {'NonbondedForce': [array([[1, 'OG303', -0.6501951901706329, 0.34779671445663557,
           0.019304775369641113],
          [3, 'OG311', -0.5429025989066171, 0.3463255185680224,
           0.2469088656659774],
          [5, 'OG2P1', -0.9203269902263682, 0.3005396417908423,
           0.9499850641520631]], dtype=object)]},
 'mol2': {'NonbondedForce': [array([[1, 'OG303', -0.6501951901706329, 0.34779671445663557,
           0.019304775369641113],
          [3, 'OG311', -0.5429025989066171, 0.3463255185680224,
           0.2469088656659774],
          [5, 'OG2P1', -0.9203269902263682, 0.3005396417908423,
           0.9499850641520631]], dtype=object)]}}</t>
  </si>
  <si>
    <t xml:space="preserve"> final_simplex: (array([[0.82745227, 0.13696638, 0.01228948, 0.75659108, 0.1502348 ,
        0.34284071, 1.28616264, 0.123581  , 0.75985006],
       [0.82745263, 0.13696654, 0.01228909, 0.75659124, 0.15023488,
        0.34283921, 1.28616261, 0.123581  , 0.75984907],
       [0.82745283, 0.13696656, 0.0122892 , 0.75659111, 0.15023488,
        0.34283726, 1.28616275, 0.123581  , 0.75984838],
       [0.82745216, 0.13696677, 0.01228878, 0.75659141, 0.15023498,
        0.34283537, 1.28616216, 0.12358101, 0.75984818],
       [0.82745214, 0.13696653, 0.01228914, 0.75659147, 0.15023486,
        0.34283837, 1.28616221, 0.12358101, 0.75984999],
       [0.82745159, 0.13696657, 0.01228911, 0.75659139, 0.1502349 ,
        0.34283742, 1.2861625 , 0.12358099, 0.75984988],
       [0.82745204, 0.13696678, 0.01228875, 0.75659111, 0.15023494,
        0.34283434, 1.2861629 , 0.12358105, 0.75984867],
       [0.82745237, 0.13696652, 0.01228919, 0.75659119, 0.15023489,
        0.34283855, 1.2861622 , 0.12358098, 0.75984902],
       [0.82745216, 0.13696642, 0.01228926, 0.75659115, 0.15023483,
        0.34283989, 1.28616297, 0.12358099, 0.75985031],
       [0.82745243, 0.13696666, 0.012289  , 0.75659139, 0.15023494,
        0.34283665, 1.28616177, 0.12358098, 0.75984839]]), array([0.01449541, 0.01449541, 0.01449541, 0.01449541, 0.01449541,
       0.01449541, 0.01449541, 0.01449541, 0.01449541, 0.01449541]))
           fun: 0.014495410565237775
       message: 'Optimization terminated successfully.'
          nfev: 1193
           nit: 779
        status: 0
       success: True
             x: array([0.82745227, 0.13696638, 0.01228948, 0.75659108, 0.1502348 ,
       0.34284071, 1.28616264, 0.123581  , 0.75985006])</t>
  </si>
  <si>
    <t xml:space="preserve">{'all': {'NonbondedForce': [array([[1, 'OG303', -0.6501185132184523, 0.3480759975584768,
           0.01898988410604617],
          [3, 'OG311', -0.5430413165601851, 0.3464421018454062,
           0.24594127281737363],
          [5, 'OG2P1', -0.9202076828297283, 0.30055499980613304,
           0.9492773635661858]], dtype=object)]},
 'mol1': {'NonbondedForce': [array([[1, 'OG303', -0.6501185132184523, 0.3480759975584768,
           0.01898988410604617],
          [3, 'OG311', -0.5430413165601851, 0.3464421018454062,
           0.24594127281737363],
          [5, 'OG2P1', -0.9202076828297283, 0.30055499980613304,
           0.9492773635661858]], dtype=object)]},
 'mol2': {'NonbondedForce': [array([[1, 'OG303', -0.6501185132184523, 0.3480759975584768,
           0.01898988410604617],
          [3, 'OG311', -0.5430413165601851, 0.3464421018454062,
           0.24594127281737363],
          [5, 'OG2P1', -0.9202076828297283, 0.30055499980613304,
           0.9492773635661858]], dtype=object)]}}</t>
  </si>
  <si>
    <t xml:space="preserve">final_simplex: (array([[0.82735446, 0.13707676, 0.01208831, 0.75678443, 0.15028551,
        0.34149083, 1.28599617, 0.12358736, 0.75928261],
       [0.82721892, 0.13702534, 0.01220171, 0.75669497, 0.15026044,
        0.34222203, 1.28600529, 0.12358736, 0.75970946],
       [0.82734874, 0.13704194, 0.01213845, 0.756785  , 0.15027056,
        0.34231625, 1.28588173, 0.1235863 , 0.75956441],
       [0.8273701 , 0.13712595, 0.01204958, 0.75676352, 0.15029532,
        0.3408809 , 1.28602791, 0.12359977, 0.759007  ],
       [0.82739788, 0.13707468, 0.01211639, 0.75654173, 0.15027848,
        0.34168259, 1.28623577, 0.12359972, 0.75914047],
       [0.82708134, 0.13707106, 0.01208374, 0.75686642, 0.15027696,
        0.34155235, 1.28599906, 0.12358773, 0.7598151 ],
       [0.82727932, 0.1371328 , 0.01202417, 0.75664162, 0.15030711,
        0.34093981, 1.28603056, 0.12359705, 0.75892403],
       [0.82742156, 0.13705254, 0.01213471, 0.75672246, 0.15027313,
        0.34201592, 1.28594645, 0.1235862 , 0.75941066],
       [0.82743741, 0.13714914, 0.01196698, 0.7565926 , 0.15031226,
        0.34070772, 1.28611617, 0.12360053, 0.75874784],
       [0.82744934, 0.13712161, 0.01202282, 0.75677119, 0.15029837,
        0.34108029, 1.28578865, 0.12359384, 0.7590556 ]]), array([0.0144954 , 0.01449541, 0.01449541, 0.01449541, 0.01449541,
       0.01449541, 0.01449541, 0.01449541, 0.01449541, 0.01449541]))
           fun: 0.014495402713212322
       message: 'Optimization terminated successfully.'
          nfev: 1071
           nit: 736
        status: 0
       success: True
             x: array([0.82735446, 0.13707676, 0.01208831, 0.75678443, 0.15028551,
       0.34149083, 1.28599617, 0.12358736, 0.75928261])</t>
  </si>
  <si>
    <t xml:space="preserve">scipy TNC</t>
  </si>
  <si>
    <t xml:space="preserve">{'all': {'NonbondedForce': [array([[1, 'OG303', -0.560000008437355, 0.293996550384096,
           0.41840000297308616],
          [3, 'OG311', -0.6219999963533484, 0.3144872805477855,
           0.803746420431309],
          [5, 'OG2P1', -0.6240000125515291, 0.30290560919321263,
           0.5020800138425163]], dtype=object)]},
 'mol1': {'NonbondedForce': [array([[1, 'OG303', -0.560000008437355, 0.293996550384096,
           0.41840000297308616],
          [3, 'OG311', -0.6219999963533484, 0.3144872805477855,
           0.803746420431309],
          [5, 'OG2P1', -0.6240000125515291, 0.30290560919321263,
           0.5020800138425163]], dtype=object)]},
 'mol2': {'NonbondedForce': [array([[1, 'OG303', -0.560000008437355, 0.293996550384096,
           0.41840000297308616],
          [3, 'OG311', -0.6219999963533484, 0.3144872805477855,
           0.803746420431309],
          [5, 'OG2P1', -0.6240000125515291, 0.30290560919321263,
           0.5020800138425163]], dtype=object)]}}</t>
  </si>
  <si>
    <t xml:space="preserve">     fun: 0.016614233774974705
     jac: array([ 0.01836168,  0.03211526, -0.01397897, -0.0099885 ,  0.00935011,
       -0.01009856,  0.00215298,  0.0001403 , -0.00166314])
 message: 'Converged (|f_n-f_(n-1)| ~= 0)'
    nfev: 50
     nit: 1
  status: 1
 success: True
       x: array([0.71266776, 0.11577959, 0.26633902, 0.86682154, 0.13642361,
       1.1160064 , 0.87204404, 0.12455393, 0.40159034])</t>
  </si>
  <si>
    <t xml:space="preserve">{'all': {'NonbondedForce': [array([[1, 'OG303', -0.5599999912763742, 0.29399645552149956,
           0.41839998327958905],
          [3, 'OG311', -0.6219999828611497, 0.3144873143503384,
           0.8037463949653],
          [5, 'OG2P1', -0.6240000047587342, 0.30290568088075653,
           0.5020800139621635]], dtype=object)]},
 'mol1': {'NonbondedForce': [array([[1, 'OG303', -0.5599999912763742, 0.29399645552149956,
           0.41839998327958905],
          [3, 'OG311', -0.6219999828611497, 0.3144873143503384,
           0.8037463949653],
          [5, 'OG2P1', -0.6240000047587342, 0.30290568088075653,
           0.5020800139621635]], dtype=object)]},
 'mol2': {'NonbondedForce': [array([[1, 'OG303', -0.5599999912763742, 0.29399645552149956,
           0.41839998327958905],
          [3, 'OG311', -0.6219999828611497, 0.3144873143503384,
           0.8037463949653],
          [5, 'OG2P1', -0.6240000047587342, 0.30290568088075653,
           0.5020800139621635]], dtype=object)]}}</t>
  </si>
  <si>
    <t xml:space="preserve">     fun: 0.016614232682709493
     jac: array([ 0.0127132 ,  0.00414968, -0.00068799,  0.0184877 ,  0.02777398,
        0.02866625,  0.01827927,  0.02293741,  0.01792701])
 message: 'Converged (|f_n-f_(n-1)| ~= 0)'
    nfev: 60
     nit: 1
  status: 1
 success: True
       x: array([0.71266774, 0.11577955, 0.26633901, 0.86682153, 0.13642362,
       1.11600637, 0.87204403, 0.12455396, 0.40159034])</t>
  </si>
  <si>
    <t xml:space="preserve">{'all': {'NonbondedForce': [array([[1, 'OG303', -0.5603816385104924, 0.2916289630814492,
           0.4178199664840831],
          [3, 'OG311', -0.6223112214140024, 0.3170961506855274,
           0.8040230781996627],
          [5, 'OG2P1', -0.6244214125967401, 0.30624348059799333,
           0.5012121789941342]], dtype=object)]},
 'mol1': {'NonbondedForce': [array([[1, 'OG303', -0.5603816385104924, 0.2916289630814492,
           0.4178199664840831],
          [3, 'OG311', -0.6223112214140024, 0.3170961506855274,
           0.8040230781996627],
          [5, 'OG2P1', -0.6244214125967401, 0.30624348059799333,
           0.5012121789941342]], dtype=object)]},
 'mol2': {'NonbondedForce': [array([[1, 'OG303', -0.5603816385104924, 0.2916289630814492,
           0.4178199664840831],
          [3, 'OG311', -0.6223112214140024, 0.3170961506855274,
           0.8040230781996627],
          [5, 'OG2P1', -0.6244214125967401, 0.30624348059799333,
           0.5012121789941342]], dtype=object)]}}</t>
  </si>
  <si>
    <t xml:space="preserve">     fun: 0.016588931578640744
     jac: array([-0.00604788,  0.05715862,  0.00371232, -0.03064152,  0.01712877,
       -0.04650183, -0.03875636,  0.03219502, -0.02834818])
 message: 'Converged (|f_n-f_(n-1)| ~= 0)'
    nfev: 320
     nit: 1
  status: 1
 success: True
       x: array([0.71315343, 0.1148472 , 0.26596979, 0.86725527, 0.13755533,
       1.11639054, 0.87263295, 0.12592645, 0.40089619])</t>
  </si>
  <si>
    <t xml:space="preserve">scipy SLSQP</t>
  </si>
  <si>
    <t xml:space="preserve">{'all': {'NonbondedForce': [array([[1, 'OG303', -0.5609049136580543, 0.25354400166683816,
           0.4021847972377743],
          [3, 'OG311', -0.6283998530701045, 0.325753855936484,
           0.8050814929984106],
          [5, 'OG2P1', -0.6290919499317498, 0.29588663577707447,
           0.5067702733208364]], dtype=object)]},
 'mol1': {'NonbondedForce': [array([[1, 'OG303', -0.5609049136580543, 0.25354400166683816,
           0.4021847972377743],
          [3, 'OG311', -0.6283998530701045, 0.325753855936484,
           0.8050814929984106],
          [5, 'OG2P1', -0.6290919499317498, 0.29588663577707447,
           0.5067702733208364]], dtype=object)]},
 'mol2': {'NonbondedForce': [array([[1, 'OG303', -0.5609049136580543, 0.25354400166683816,
           0.4021847972377743],
          [3, 'OG311', -0.6283998530701045, 0.325753855936484,
           0.8050814929984106],
          [5, 'OG2P1', -0.6290919499317498, 0.29588663577707447,
           0.5067702733208364]], dtype=object)]}}</t>
  </si>
  <si>
    <t xml:space="preserve">    fun: 0.01637671948944749
     jac: array([ 0.00945098,  0.01702577, -0.00340606, -0.01069416, -0.0060897 ,
       -0.00259515, -0.0117435 , -0.04298502,  0.00528483])
 message: 'Optimization terminated successfully'
    nfev: 87
     nit: 6
    njev: 6
  status: 0
 success: True
       x: array([0.71381936, 0.09984886, 0.25601698, 0.87574041, 0.14131102,
       1.11786016, 0.87916006, 0.12166774, 0.40534186])</t>
  </si>
  <si>
    <t xml:space="preserve">{'all': {'NonbondedForce': [array([[1, 'OG303', -0.5600195528478706, 0.29307986305350847,
           0.4185416553216651],
          [3, 'OG311', -0.6225085855885198, 0.31624295065131147,
           0.8039004123879716],
          [5, 'OG2P1', -0.6242085501636317, 0.3050651170845941,
           0.5021156144918252]], dtype=object)]},
 'mol1': {'NonbondedForce': [array([[1, 'OG303', -0.5600195528478706, 0.29307986305350847,
           0.4185416553216651],
          [3, 'OG311', -0.6225085855885198, 0.31624295065131147,
           0.8039004123879716],
          [5, 'OG2P1', -0.6242085501636317, 0.3050651170845941,
           0.5021156144918252]], dtype=object)]},
 'mol2': {'NonbondedForce': [array([[1, 'OG303', -0.5600195528478706, 0.29307986305350847,
           0.4185416553216651],
          [3, 'OG311', -0.6225085855885198, 0.31624295065131147,
           0.8039004123879716],
          [5, 'OG2P1', -0.6242085501636317, 0.3050651170845941,
           0.5021156144918252]], dtype=object)]}}</t>
  </si>
  <si>
    <t xml:space="preserve">     fun: 0.016598483174614747
     jac: array([-0.00250181, -0.00629028, -0.01201677, -0.02694545,  0.00377268,
        0.00185936,  0.00505729,  0.00353059,  0.00093874])
 message: 'Optimization terminated successfully'
    nfev: 34
     nit: 2
    njev: 2
  status: 0
 success: True
       x: array([0.71269264, 0.11541858, 0.26642919, 0.86753032, 0.13718521,
       1.11622022, 0.87233547, 0.12544191, 0.40161882])</t>
  </si>
  <si>
    <t xml:space="preserve">{'all': {'NonbondedForce': [array([[1, 'OG303', -0.5599488000483377, 0.2899957590794775,
           0.41806262621469353],
          [3, 'OG311', -0.6228263343416475, 0.31695083459896123,
           0.8037277719568086],
          [5, 'OG2P1', -0.6240153487844217, 0.3067256736732812,
           0.5015704120315715]], dtype=object)]},
 'mol1': {'NonbondedForce': [array([[1, 'OG303', -0.5599488000483377, 0.2899957590794775,
           0.41806262621469353],
          [3, 'OG311', -0.6228263343416475, 0.31695083459896123,
           0.8037277719568086],
          [5, 'OG2P1', -0.6240153487844217, 0.3067256736732812,
           0.5015704120315715]], dtype=object)]},
 'mol2': {'NonbondedForce': [array([[1, 'OG303', -0.5599488000483377, 0.2899957590794775,
           0.41806262621469353],
          [3, 'OG311', -0.6228263343416475, 0.31695083459896123,
           0.8037277719568086],
          [5, 'OG2P1', -0.6240153487844217, 0.3067256736732812,
           0.5015704120315715]], dtype=object)]}}</t>
  </si>
  <si>
    <t xml:space="preserve">     fun: 0.016586372293817306
     jac: array([ 0.00150704,  0.03644141,  0.00496719, -0.02663494, -0.02471787,
        0.00059823, -0.00049612, -0.03633144,  0.00942727])
 message: 'Optimization terminated successfully'
    nfev: 13
     nit: 1
    njev: 1
  status: 0
 success: True
       x: array([0.71260259, 0.11420402, 0.26612426, 0.86797313, 0.13749229,
       1.11598051, 0.87206547, 0.12612473, 0.40118274])</t>
  </si>
  <si>
    <t xml:space="preserve">scipy l-bfgs-b</t>
  </si>
  <si>
    <t xml:space="preserve">fail</t>
  </si>
  <si>
    <t xml:space="preserve">{'all': {'NonbondedForce': [array([[1, 'OG303', -0.56, 0.29399657698631193, 0.41840000000000005],
          [3, 'OG311', -0.622, 0.3144872475035398, 0.8037464],
          [5, 'OG2P1', -0.624, 0.30290556416771536, 0.502080012502293]],
         dtype=object)]},
 'mol1': {'NonbondedForce': [array([[1, 'OG303', -0.56, 0.29399657698631193, 0.41840000000000005],
          [3, 'OG311', -0.622, 0.3144872475035398, 0.8037464],
          [5, 'OG2P1', -0.624, 0.30290556416771536, 0.502080012502293]],
         dtype=object)]},
 'mol2': {'NonbondedForce': [array([[1, 'OG303', -0.56, 0.29399657698631193, 0.41840000000000005],
          [3, 'OG311', -0.622, 0.3144872475035398, 0.8037464],
          [5, 'OG2P1', -0.624, 0.30290556416771536, 0.502080012502293]],
         dtype=object)]}}</t>
  </si>
  <si>
    <t xml:space="preserve">      fun: 0.016614234730799014
 hess_inv: &lt;9x9 LbfgsInvHessProduct with dtype=float64&gt;
      jac: array([ 0.01451557,  0.06290989,  0.00944207, -0.02554322, -0.06785103,
       -0.01023457, -0.02779734, -0.10386643, -0.00781092])
  message: 'CONVERGENCE: REL_REDUCTION_OF_F_&lt;=_FACTR*EPSMCH'
     nfev: 70
      nit: 1
     njev: 7
   status: 0
  success: True
        x: array([0.71266775, 0.1157796 , 0.26633902, 0.86682155, 0.1364236 ,
       1.11600637, 0.87204402, 0.12455391, 0.40159033])</t>
  </si>
  <si>
    <t xml:space="preserve">      fun: 0.016614234690531138
 hess_inv: &lt;9x9 LbfgsInvHessProduct with dtype=float64&gt;
      jac: array([-0.00745914,  0.05915999, -0.01843795, -0.01401112, -0.05366172,
        0.01213732, -0.00195967, -0.06128173,  0.00166395])
  message: 'CONVERGENCE: REL_REDUCTION_OF_F_&lt;=_FACTR*EPSMCH'
     nfev: 30
      nit: 1
     njev: 3
   status: 0
  success: True
        x: array([0.71266775, 0.1157796 , 0.26633902, 0.86682155, 0.1364236 ,
       1.11600637, 0.87204402, 0.12455391, 0.40159033])</t>
  </si>
  <si>
    <t xml:space="preserve">      fun: 0.016614234538831246
 hess_inv: &lt;9x9 LbfgsInvHessProduct with dtype=float64&gt;
      jac: array([ 0.01036145,  0.06950998,  0.00521351,  0.00356129, -0.05208247,
        0.02336184,  0.00587651, -0.05606186, -0.00131503])
  message: 'CONVERGENCE: REL_REDUCTION_OF_F_&lt;=_FACTR*EPSMCH'
     nfev: 30
      nit: 1
     njev: 3
   status: 0
  success: True
        x: array([0.71266775, 0.1157796 , 0.26633902, 0.86682155, 0.1364236 ,
       1.11600637, 0.87204402, 0.12455391, 0.40159033])</t>
  </si>
  <si>
    <t xml:space="preserve">scipy powell</t>
  </si>
  <si>
    <t xml:space="preserve">{'all': {'NonbondedForce': [array([[1, 'OG303', -0.650970624746465, 0.3462272338735186,
           0.021618644803420642],
          [3, 'OG311', -0.5446706608512103, 0.3457610275175938,
           0.23946200834295664],
          [5, 'OG2P1', -0.918148289539451, 0.293163479282672,
           1.375519950735169]], dtype=object)]},
 'mol1': {'NonbondedForce': [array([[1, 'OG303', -0.650970624746465, 0.3462272338735186,
           0.021618644803420642],
          [3, 'OG311', -0.5446706608512103, 0.3457610275175938,
           0.23946200834295664],
          [5, 'OG2P1', -0.918148289539451, 0.293163479282672,
           1.375519950735169]], dtype=object)]},
 'mol2': {'NonbondedForce': [array([[1, 'OG303', -0.650970624746465, 0.3462272338735186,
           0.021618644803420642],
          [3, 'OG311', -0.5446706608512103, 0.3457610275175938,
           0.23946200834295664],
          [5, 'OG2P1', -0.918148289539451, 0.293163479282672,
           1.375519950735169]], dtype=object)]}}</t>
  </si>
  <si>
    <t xml:space="preserve">   direc: array([[ 9.40154455e-04,  5.50991019e-04, -5.49526465e-04,
        -3.72607169e-04,  1.71974171e-04, -7.83679258e-03,
         3.51542651e-04, -2.70140841e-04,  3.77000230e-02],
       [ 2.43034422e-03,  6.06423401e-04, -7.51376954e-03,
        -1.78832628e-02,  1.34348249e-05, -2.46578806e-02,
         1.86664766e-02,  4.25976272e-04,  2.21823312e-03],
       [ 0.00000000e+00,  0.00000000e+00,  1.00000000e+00,
         0.00000000e+00,  0.00000000e+00,  0.00000000e+00,
         0.00000000e+00,  0.00000000e+00,  0.00000000e+00],
       [ 0.00000000e+00,  0.00000000e+00,  0.00000000e+00,
         0.00000000e+00,  0.00000000e+00,  0.00000000e+00,
         0.00000000e+00,  0.00000000e+00,  1.00000000e+00],
       [-5.17918995e-04,  1.00196960e-03, -1.50537362e-03,
         5.87754460e-04,  3.53230888e-04, -1.01751056e-02,
        -1.95857591e-03, -4.18519508e-04,  4.21616022e-02],
       [ 0.00000000e+00,  0.00000000e+00,  0.00000000e+00,
         0.00000000e+00,  0.00000000e+00,  1.00000000e+00,
         0.00000000e+00,  0.00000000e+00,  0.00000000e+00],
       [ 0.00000000e+00,  0.00000000e+00,  0.00000000e+00,
         0.00000000e+00,  0.00000000e+00,  0.00000000e+00,
         1.00000000e+00,  0.00000000e+00,  0.00000000e+00],
       [ 4.37676359e-04,  2.92723337e-04, -4.62609620e-04,
        -1.67511202e-04,  9.31223634e-05, -5.52144115e-03,
         1.15863788e-03, -7.22478075e-05,  1.29158655e-02],
       [ 8.79371878e-04, -1.68794658e-05,  5.86753678e-05,
        -1.84319527e-04, -1.32291300e-05,  1.84484197e-03,
        -8.69673519e-04, -6.40677461e-05,  5.51402607e-03]])
     fun: 0.014492738879459264
 message: 'Optimization terminated successfully.'
    nfev: 7912
     nit: 25
  status: 0
 success: True
       x: array([0.82843888, 0.13634869, 0.01376168, 0.75905509, 0.14999006,
       0.33249434, 1.28311816, 0.12054799, 1.10021414])</t>
  </si>
  <si>
    <t xml:space="preserve">success</t>
  </si>
  <si>
    <t xml:space="preserve">{'all': {'NonbondedForce': [array([[1, 'OG303', -0.6426433809243045, 0.3432172271792007,
           0.023666937479779434],
          [3, 'OG311', -0.5481731869901194, 0.344624793000898,
           0.2501457370972107],
          [5, 'OG2P1', -0.9198985652442323, 0.29479991819067175,
           1.2749761742449162]], dtype=object)]},
 'mol1': {'NonbondedForce': [array([[1, 'OG303', -0.6426433809243045, 0.3432172271792007,
           0.023666937479779434],
          [3, 'OG311', -0.5481731869901194, 0.344624793000898,
           0.2501457370972107],
          [5, 'OG2P1', -0.9198985652442323, 0.29479991819067175,
           1.2749761742449162]], dtype=object)]},
 'mol2': {'NonbondedForce': [array([[1, 'OG303', -0.6426433809243045, 0.3432172271792007,
           0.023666937479779434],
          [3, 'OG311', -0.5481731869901194, 0.344624793000898,
           0.2501457370972107],
          [5, 'OG2P1', -0.9198985652442323, 0.29479991819067175,
           1.2749761742449162]], dtype=object)]}}</t>
  </si>
  <si>
    <t xml:space="preserve">   direc: array([[ 3.15162159e-03,  4.43888173e-03, -2.03928578e-02,
        -2.71585632e-03,  1.70742647e-03, -9.21567988e-02,
         4.95704538e-07, -1.38288961e-03,  9.29054266e-02],
       [ 2.51660024e-03,  6.02760354e-04, -7.48911539e-03,
        -1.80537406e-02,  1.47291527e-05, -2.52068482e-02,
         1.88516332e-02,  4.28263396e-04,  2.40759110e-03],
       [-6.43264846e-03,  2.01353570e-03, -2.91449232e-02,
         3.46186136e-03,  1.07859606e-03, -5.59119411e-02,
        -1.66295801e-03, -7.46262857e-04,  3.56353551e-02],
       [ 0.00000000e+00,  0.00000000e+00,  0.00000000e+00,
         0.00000000e+00,  0.00000000e+00,  0.00000000e+00,
         0.00000000e+00,  0.00000000e+00,  1.00000000e+00],
       [ 1.42146532e-02,  1.89373938e-03, -1.46217789e-02,
        -4.95396180e-03,  4.77306020e-04, -6.01054413e-02,
        -1.61240738e-03, -5.19110435e-05,  5.04384335e-03],
       [ 0.00000000e+00,  0.00000000e+00,  0.00000000e+00,
         0.00000000e+00,  0.00000000e+00,  1.00000000e+00,
         0.00000000e+00,  0.00000000e+00,  0.00000000e+00],
       [ 0.00000000e+00,  0.00000000e+00,  0.00000000e+00,
         0.00000000e+00,  0.00000000e+00,  0.00000000e+00,
         1.00000000e+00,  0.00000000e+00,  0.00000000e+00],
       [ 0.00000000e+00,  0.00000000e+00,  0.00000000e+00,
         0.00000000e+00,  0.00000000e+00,  0.00000000e+00,
         0.00000000e+00,  1.00000000e+00,  0.00000000e+00],
       [-4.52324634e-04,  1.64982806e-03, -2.65956693e-03,
         1.25155379e-03,  5.61203509e-04, -2.45990637e-02,
        -7.01516403e-04, -8.51598039e-04,  1.03844281e-01]])
     fun: 0.014494359662753017
 message: 'Optimization terminated successfully.'
    nfev: 2733
     nit: 15
  status: 0
 success: True
       x: array([0.81784149, 0.13516317, 0.01506579, 0.76393612, 0.14949712,
       0.34733089, 1.28556424, 0.12122096, 1.01978485])</t>
  </si>
  <si>
    <t xml:space="preserve">{'all': {'NonbondedForce': [array([[1, 'OG303', -0.6366071285665662, 0.2859071583842661,
           0.2912678732668877],
          [3, 'OG311', -0.548897890694331, 0.3224637457802488,
           0.6406032558988609],
          [5, 'OG2P1', -0.9284486800223428, 0.3142530646862494,
           0.5197708717454811]], dtype=object)]},
 'mol1': {'NonbondedForce': [array([[1, 'OG303', -0.6366071285665662, 0.2859071583842661,
           0.2912678732668877],
          [3, 'OG311', -0.548897890694331, 0.3224637457802488,
           0.6406032558988609],
          [5, 'OG2P1', -0.9284486800223428, 0.3142530646862494,
           0.5197708717454811]], dtype=object)]},
 'mol2': {'NonbondedForce': [array([[1, 'OG303', -0.6366071285665662, 0.2859071583842661,
           0.2912678732668877],
          [3, 'OG311', -0.548897890694331, 0.3224637457802488,
           0.6406032558988609],
          [5, 'OG2P1', -0.9284486800223428, 0.3142530646862494,
           0.5197708717454811]], dtype=object)]}}</t>
  </si>
  <si>
    <t xml:space="preserve">   direc: array([[ 1.00000000e+00,  0.00000000e+00,  0.00000000e+00,
         0.00000000e+00,  0.00000000e+00,  0.00000000e+00,
         0.00000000e+00,  0.00000000e+00,  0.00000000e+00],
       [ 0.00000000e+00,  1.00000000e+00,  0.00000000e+00,
         0.00000000e+00,  0.00000000e+00,  0.00000000e+00,
         0.00000000e+00,  0.00000000e+00,  0.00000000e+00],
       [ 0.00000000e+00,  0.00000000e+00,  1.00000000e+00,
         0.00000000e+00,  0.00000000e+00,  0.00000000e+00,
         0.00000000e+00,  0.00000000e+00,  0.00000000e+00],
       [ 0.00000000e+00,  0.00000000e+00,  0.00000000e+00,
         0.00000000e+00,  0.00000000e+00,  0.00000000e+00,
         0.00000000e+00,  0.00000000e+00,  1.00000000e+00],
       [ 0.00000000e+00,  0.00000000e+00,  0.00000000e+00,
         0.00000000e+00,  1.00000000e+00,  0.00000000e+00,
         0.00000000e+00,  0.00000000e+00,  0.00000000e+00],
       [ 0.00000000e+00,  0.00000000e+00,  0.00000000e+00,
         0.00000000e+00,  0.00000000e+00,  1.00000000e+00,
         0.00000000e+00,  0.00000000e+00,  0.00000000e+00],
       [ 0.00000000e+00,  0.00000000e+00,  0.00000000e+00,
         0.00000000e+00,  0.00000000e+00,  0.00000000e+00,
         1.00000000e+00,  0.00000000e+00,  0.00000000e+00],
       [ 0.00000000e+00,  0.00000000e+00,  0.00000000e+00,
         0.00000000e+00,  0.00000000e+00,  0.00000000e+00,
         0.00000000e+00,  1.00000000e+00,  0.00000000e+00],
       [ 4.51702817e-03,  6.29951753e-04, -7.77240510e-03,
        -1.92283960e-02,  3.18408230e-05, -2.55775716e-02,
         1.87746618e-02,  4.35135602e-04,  2.04546865e-03]])
     fun: 0.01453862409738109
 message: 'Optimization terminated successfully.'
    nfev: 638
     nit: 5
  status: 0
 success: True
       x: array([0.81022841, 0.11260348, 0.18529267, 0.76465322, 0.13988426,
       0.88909151, 1.29779906, 0.1292266 , 0.4157716 ])</t>
  </si>
  <si>
    <t xml:space="preserve">scipy cg</t>
  </si>
  <si>
    <t xml:space="preserve">     fun: 0.01626936565679773
     jac: array([-0.00137318, -0.00825194, -0.00102272,  0.01589666,  0.01288319,
        0.00338077,  0.01702211,  0.00699408,  0.00279063])
 message: 'Desired error not necessarily achieved due to precision loss.'
    nfev: 701
     nit: 18
    njev: 69
  status: 2
 success: False
       x: array([0.71649279, 0.09869523, 0.27914958, 0.88578061, 0.14245648,
       1.12348113, 0.8883709 , 0.12176645, 0.4009088 ])</t>
  </si>
  <si>
    <t xml:space="preserve">scipy cobyla</t>
  </si>
  <si>
    <t xml:space="preserve">{'all': {'NonbondedForce': [array([[1, 'OG303', -0.6420284875686476, 0.2962055854798561,
           0.17345343738347627],
          [3, 'OG311', -0.550903551391239, 0.31892296501361966,
           0.8163698586089324],
          [5, 'OG2P1', -0.9105715419821883, 0.3124473662946154,
           0.5246526842525757]], dtype=object)]},
 'mol1': {'NonbondedForce': [array([[1, 'OG303', -0.6420284875686476, 0.2962055854798561,
           0.17345343738347627],
          [3, 'OG311', -0.550903551391239, 0.31892296501361966,
           0.8163698586089324],
          [5, 'OG2P1', -0.9105715419821883, 0.3124473662946154,
           0.5246526842525757]], dtype=object)]},
 'mol2': {'NonbondedForce': [array([[1, 'OG303', -0.6420284875686476, 0.2962055854798561,
           0.17345343738347627],
          [3, 'OG311', -0.550903551391239, 0.31892296501361966,
           0.8163698586089324],
          [5, 'OG2P1', -0.9105715419821883, 0.3124473662946154,
           0.5246526842525757]], dtype=object)]}}</t>
  </si>
  <si>
    <t xml:space="preserve">     fun: 0.01454806116552254
   maxcv: 0.0
 message: 'Optimization terminated successfully.'
    nfev: 9637
  status: 1
 success: True
       x: array([0.81705893, 0.11664953, 0.11041448, 0.76774127, 0.1383478 ,
       1.13353412, 1.2725296 , 0.12847747, 0.41964517])</t>
  </si>
  <si>
    <t xml:space="preserve">{'all': {'NonbondedForce': [array([[1, 'OG303', -0.6427369707645613, 0.29521553981829374,
           0.183017997579965],
          [3, 'OG311', -0.549911233966797, 0.31911729307406306,
           0.8098833685119187],
          [5, 'OG2P1', -0.9126828976612349, 0.3127690855503638,
           0.5193421191752505]], dtype=object)]},
 'mol1': {'NonbondedForce': [array([[1, 'OG303', -0.6427369707645613, 0.29521553981829374,
           0.183017997579965],
          [3, 'OG311', -0.549911233966797, 0.31911729307406306,
           0.8098833685119187],
          [5, 'OG2P1', -0.9126828976612349, 0.3127690855503638,
           0.5193421191752505]], dtype=object)]},
 'mol2': {'NonbondedForce': [array([[1, 'OG303', -0.6427369707645613, 0.29521553981829374,
           0.183017997579965],
          [3, 'OG311', -0.549911233966797, 0.31911729307406306,
           0.8098833685119187],
          [5, 'OG2P1', -0.9126828976612349, 0.3127690855503638,
           0.5193421191752505]], dtype=object)]}}</t>
  </si>
  <si>
    <t xml:space="preserve">     fun: 0.014547025646225042
   maxcv: 0.0
 message: 'Optimization terminated successfully.'
    nfev: 9767
  status: 1
 success: True
       x: array([0.81796056, 0.11625964, 0.11650295, 0.76635837, 0.13843209,
       1.12452759, 1.27548023, 0.12860976, 0.4153975 ])</t>
  </si>
  <si>
    <t xml:space="preserve">idk</t>
  </si>
  <si>
    <t xml:space="preserve">{'all': {'NonbondedForce': [array([[1, 'OG303', -0.5926579299666809, 0.28743512491391754,
           0.18981066934192883],
          [3, 'OG311', -0.6374120703115916, 0.32280436966815734,
           0.8185732229070581],
          [5, 'OG2P1', -0.6443245312827187, 0.29788131509793264,
           0.5046363970891147]], dtype=object)]},
 'mol1': {'NonbondedForce': [array([[1, 'OG303', -0.5926579299666809, 0.28743512491391754,
           0.18981066934192883],
          [3, 'OG311', -0.6374120703115916, 0.32280436966815734,
           0.8185732229070581],
          [5, 'OG2P1', -0.6443245312827187, 0.29788131509793264,
           0.5046363970891147]], dtype=object)]},
 'mol2': {'NonbondedForce': [array([[1, 'OG303', -0.5926579299666809, 0.28743512491391754,
           0.18981066934192883],
          [3, 'OG311', -0.6374120703115916, 0.32280436966815734,
           0.8185732229070581],
          [5, 'OG2P1', -0.6443245312827187, 0.29788131509793264,
           0.5046363970891147]], dtype=object)]}}</t>
  </si>
  <si>
    <t xml:space="preserve">     fun: 0.016034313510155322
   maxcv: 0.0
 message: 'Optimization terminated successfully.'
    nfev: 98
  status: 1
 success: True
       x: array([0.75422892, 0.11319561, 0.12082693, 0.88829987, 0.14003154,
       1.1365935 , 0.90044769, 0.12248795, 0.40363508])</t>
  </si>
  <si>
    <t xml:space="preserve">scipy trust-constr</t>
  </si>
  <si>
    <t xml:space="preserve">{'all': {'NonbondedForce': [array([[1, 'OG303', -0.5573829915784584, 0.26891169968880374,
           0.4158065739604401],
          [3, 'OG311', -0.6241814979027928, 0.32479538139067526,
           0.8022065087988163],
          [5, 'OG2P1', -0.6245354167677816, 0.2959341259117087,
           0.49522753264868147]], dtype=object)]},
 'mol1': {'NonbondedForce': [array([[1, 'OG303', -0.5573829915784584, 0.26891169968880374,
           0.4158065739604401],
          [3, 'OG311', -0.6241814979027928, 0.32479538139067526,
           0.8022065087988163],
          [5, 'OG2P1', -0.6245354167677816, 0.2959341259117087,
           0.49522753264868147]], dtype=object)]},
 'mol2': {'NonbondedForce': [array([[1, 'OG303', -0.5573829915784584, 0.26891169968880374,
           0.4158065739604401],
          [3, 'OG311', -0.6241814979027928, 0.32479538139067526,
           0.8022065087988163],
          [5, 'OG2P1', -0.6245354167677816, 0.2959341259117087,
           0.49522753264868147]], dtype=object)]}}</t>
  </si>
  <si>
    <t xml:space="preserve">         cg_niter: 199
     cg_stop_cond: 2
           constr: []
      constr_nfev: []
      constr_nhev: []
      constr_njev: []
   constr_penalty: 1.0
 constr_violation: 0
   execution_time: 183.0075011253357
              fun: 0.016441197489047422
             grad: array([-0.00805739,  0.00553599,  0.00890105,  0.01160974,  0.00643804,
       -0.00016458,  0.00962795,  0.03565584,  0.00376735])
              jac: []
  lagrangian_grad: array([-0.00805739,  0.00553599,  0.00890105,  0.01160974,  0.00643804,
       -0.00016458,  0.00962795,  0.03565584,  0.00376735])
          message: '`xtol` termination condition is satisfied.'
           method: 'equality_constrained_sqp'
             nfev: 440
             nhev: 0
              nit: 44
            niter: 44
             njev: 44
       optimality: 0.03565584379248321
           status: 2
          success: True
        tr_radius: 5.6562769095653264e-09
                v: []
                x: array([0.71606831, 0.10660998, 0.26834034, 0.87045158, 0.1408649 ,
       1.11494485, 0.8696011 , 0.12265706, 0.40183167])</t>
  </si>
  <si>
    <t xml:space="preserve">{'all': {'NonbondedForce': [array([[1, 'OG303', -0.5605176330705293, 0.2844166601890556,
           0.41830716006827334],
          [3, 'OG311', -0.6237826081577896, 0.32329599228890354,
           0.802034056112995],
          [5, 'OG2P1', -0.6230237324520906, 0.3006536383996118,
           0.5008469350656475]], dtype=object)]},
 'mol1': {'NonbondedForce': [array([[1, 'OG303', -0.5605176330705293, 0.2844166601890556,
           0.41830716006827334],
          [3, 'OG311', -0.6237826081577896, 0.32329599228890354,
           0.802034056112995],
          [5, 'OG2P1', -0.6230237324520906, 0.3006536383996118,
           0.5008469350656475]], dtype=object)]},
 'mol2': {'NonbondedForce': [array([[1, 'OG303', -0.5605176330705293, 0.2844166601890556,
           0.41830716006827334],
          [3, 'OG311', -0.6237826081577896, 0.32329599228890354,
           0.802034056112995],
          [5, 'OG2P1', -0.6230237324520906, 0.3006536383996118,
           0.5008469350656475]], dtype=object)]}}</t>
  </si>
  <si>
    <t xml:space="preserve">         cg_niter: 65
     cg_stop_cond: 2
           constr: []
      constr_nfev: []
      constr_nhev: []
      constr_njev: []
   constr_penalty: 1.0
 constr_violation: 0
   execution_time: 58.14849090576172
              fun: 0.01650330814831558
             grad: array([ 0.00774352, -0.0025973 ,  0.0099789 ,  0.01640075,  0.02479169,
        0.01511711,  0.01973557,  0.0288762 ,  0.00660919])
              jac: []
  lagrangian_grad: array([ 0.00774352, -0.0025973 ,  0.0099789 ,  0.01640075,  0.02479169,
        0.01511711,  0.01973557,  0.0288762 ,  0.00660919])
          message: '`xtol` termination condition is satisfied.'
           method: 'equality_constrained_sqp'
             nfev: 180
             nhev: 0
              nit: 18
            niter: 18
             njev: 18
       optimality: 0.02887620381079614
           status: 2
          success: True
        tr_radius: 7.41882333434828e-06
                v: []
                x: array([0.71332184, 0.1120055 , 0.26628354, 0.86931207, 0.14024896,
       1.1136327 , 0.87068871, 0.12363326, 0.4006052 ])</t>
  </si>
  <si>
    <t xml:space="preserve">nope</t>
  </si>
  <si>
    <t xml:space="preserve">{'all': {'NonbondedForce': [array([[1, 'OG303', -0.566805471148309, 0.25923487780961,
           0.42351584050811064],
          [3, 'OG311', -0.6273261090789668, 0.3264133788628346,
           0.8032586404095203],
          [5, 'OG2P1', -0.6281658391295677, 0.3004819782652183,
           0.49985484921860485]], dtype=object)]},
 'mol1': {'NonbondedForce': [array([[1, 'OG303', -0.566805471148309, 0.25923487780961,
           0.42351584050811064],
          [3, 'OG311', -0.6273261090789668, 0.3264133788628346,
           0.8032586404095203],
          [5, 'OG2P1', -0.6281658391295677, 0.3004819782652183,
           0.49985484921860485]], dtype=object)]},
 'mol2': {'NonbondedForce': [array([[1, 'OG303', -0.566805471148309, 0.25923487780961,
           0.42351584050811064],
          [3, 'OG311', -0.6273261090789668, 0.3264133788628346,
           0.8032586404095203],
          [5, 'OG2P1', -0.6281658391295677, 0.3004819782652183,
           0.49985484921860485]], dtype=object)]}}</t>
  </si>
  <si>
    <t xml:space="preserve">       cg_niter: 123
     cg_stop_cond: 4
           constr: []
      constr_nfev: []
      constr_nhev: []
      constr_njev: []
   constr_penalty: 1.0
 constr_violation: 0
   execution_time: 80.89285016059875
              fun: 0.016344077001680994
             grad: array([ 0.00714247,  0.01161303,  0.01309745, -0.01525367,  0.01171525,
        0.00574271, -0.03800305, -0.0239601 , -0.00955973])
              jac: []
  lagrangian_grad: array([ 0.00714247,  0.01161303,  0.01309745, -0.01525367,  0.01171525,
        0.00574271, -0.03800305, -0.0239601 , -0.00955973])
          message: '`xtol` termination condition is satisfied.'
           method: 'equality_constrained_sqp'
             nfev: 250
             nhev: 0
              nit: 25
            niter: 25
             njev: 25
       optimality: 0.03800304792821407
           status: 2
          success: True
        tr_radius: 0.0008941810404060936
                v: []
                x: array([0.7207584 , 0.10247534, 0.26942669, 0.87339317, 0.14145595,
       1.11558515, 0.87774756, 0.12269978, 0.40073032])</t>
  </si>
  <si>
    <t xml:space="preserve">pso</t>
  </si>
  <si>
    <t xml:space="preserve">{'all': {'NonbondedForce': [array([[1, 'OG303', -0.3611606358974981, 0.7961687059004319,
           0.6855677092982008],
          [3, 'OG311', -0.7685032708859673, 0.6353829760626155,
           0.6747445548660027],
          [5, 'OG2P1', -0.3076643848248975, 0.27483954177256487,
           0.4684730794980847]], dtype=object)]},
 'mol1': {'NonbondedForce': [array([[1, 'OG303', -0.3611606358974981, 0.7961687059004319,
           0.6855677092982008],
          [3, 'OG311', -0.7685032708859673, 0.6353829760626155,
           0.6747445548660027],
          [5, 'OG2P1', -0.3076643848248975, 0.27483954177256487,
           0.4684730794980847]], dtype=object)]},
 'mol2': {'NonbondedForce': [array([[1, 'OG303', -0.3611606358974981, 0.7961687059004319,
           0.6855677092982008],
          [3, 'OG311', -0.7685032708859673, 0.6353829760626155,
           0.6747445548660027],
          [5, 'OG2P1', -0.3076643848248975, 0.27483954177256487,
           0.4684730794980847]], dtype=object)]}}</t>
  </si>
  <si>
    <t xml:space="preserve">PSO hyperparameters: c1 = 0.1, c2 = 0.1, w = 0.4
n_particles set to 50          PSO found the best solution at obj_func([0.09136247 0.17069164 0.98212513 0.24109542 0.23455567 0.17597579
 0.14667187 0.01754957 0.38264075])=37.45381520641372 #heh very unreliable</t>
  </si>
  <si>
    <t xml:space="preserve">pytorch all</t>
  </si>
  <si>
    <t xml:space="preserve">not converged</t>
  </si>
  <si>
    <t xml:space="preserve">{'all': {'NonbondedForce': [array([[1, 'OG303', -0.31556161580627556, 1.0197494816417556,
           0.6308703688784169],
          [3, 'OG311', -0.28816679517455307, 0.9257565646709103,
           0.2892248588475428],
          [5, 'OG2P1', -0.287362061773864, 0.9766369389251136, 0.50208]],
         dtype=object)]},
 'mol1': {'NonbondedForce': [array([[1, 'OG303', -0.31556161580627556, 1.0197494816417556,
           0.6308703688784169],
          [3, 'OG311', -0.28816679517455307, 0.9257565646709103,
           0.2892248588475428],
          [5, 'OG2P1', -0.287362061773864, 0.9766369389251136, 0.50208]],
         dtype=object)]},
 'mol2': {'NonbondedForce': [array([[1, 'OG303', -0.31556161580627556, 1.0197494816417556,
           0.6308703688784169],
          [3, 'OG311', -0.28816679517455307, 0.9257565646709103,
           0.2892248588475428],
          [5, 'OG2P1', -0.287362061773864, 0.9766369389251136, 0.50208]],
         dtype=object)]}}</t>
  </si>
  <si>
    <t xml:space="preserve">has autograd but optimizers fail as they are the wrong type for this problem. also shitty implementation of different optimizers as they return different stuff -.-</t>
  </si>
  <si>
    <t xml:space="preserve">tensorflow</t>
  </si>
  <si>
    <t xml:space="preserve">does not work</t>
  </si>
  <si>
    <t xml:space="preserve">gradient-based</t>
  </si>
  <si>
    <t xml:space="preserve">Evo_strat = cma.CMAEvolutionStrategy(Molsys.scaled_parameters, sdev_params)      Evo_strat.optimize(lambda x: Para.wrap_objective_function(x))</t>
  </si>
  <si>
    <t xml:space="preserve">pycma default settings</t>
  </si>
  <si>
    <t xml:space="preserve">success but fkin slow</t>
  </si>
  <si>
    <t xml:space="preserve">{'all': {'NonbondedForce': [array([[1, 'OG303', -0.6853579898377722, 0.3316702409353481,
           0.20148008439298667],
          [3, 'OG311', -0.569798358497491, -0.3346174496074511,
           0.26122823131475886],
          [5, 'OG2P1', -0.8564096806946376, -0.5714925367177164,
           0.00016365483711380067]], dtype=object)]},
 'mol1': {'NonbondedForce': [array([[1, 'OG303', -0.6853579898377722, 0.3316702409353481,
           0.20148008439298667],
          [3, 'OG311', -0.569798358497491, -0.3346174496074511,
           0.26122823131475886],
          [5, 'OG2P1', -0.8564096806946376, -0.5714925367177164,
           0.00016365483711380067]], dtype=object)]},
 'mol2': {'NonbondedForce': [array([[1, 'OG303', -0.6853579898377722, 0.3316702409353481,
           0.20148008439298667],
          [3, 'OG311', -0.569798358497491, -0.3346174496074511,
           0.26122823131475886],
          [5, 'OG2P1', -0.8564096806946376, -0.5714925367177164,
           0.00016365483711380067]], dtype=object)]}}</t>
  </si>
  <si>
    <t xml:space="preserve">CMAEvolutionStrategyResult(xbest=array([ 8.72200962e-01,  1.30615966e-01,  1.28255278e-01,  7.94073143e-01,
       -1.45156015e-01,  3.62716855e-01,  1.19683805e+00, -2.34996107e-01,
        1.30899862e-04]), fbest=0.016869304230915184, evals_best=16766, evaluations=19350, iterations=1935, xfavorite=array([ 8.72200960e-01,  1.30615965e-01,  1.28255277e-01,  7.94073145e-01,
       -1.45156015e-01,  3.62716859e-01,  1.19683805e+00, -2.34996107e-01,
        1.30899858e-04]), stds=array([2.31562883e-10, 4.03316299e-11, 5.74654378e-10, 1.73266344e-10,
       8.95465378e-11, 1.93455842e-09, 9.55135324e-11, 5.85352798e-11,
       5.22286576e-13]), stop={'tolstagnation': 354})</t>
  </si>
  <si>
    <t xml:space="preserve">paramsout, Evo_strat = cma.fmin2(lambda x: Para.wrap_objective_function(x), Molsys.scaled_parameters, sdev_params)</t>
  </si>
  <si>
    <t xml:space="preserve">pycma fmin2 default settings</t>
  </si>
  <si>
    <t xml:space="preserve">success but fkn slooow</t>
  </si>
  <si>
    <t xml:space="preserve">array([-6.02659905e-01, -3.04313254e-01,  2.29578241e-01, -6.12958237e-01,
       -5.55303169e-01,  2.12220845e-04, -9.13561138e-01,  3.34626554e-01,
        2.33071621e-01])</t>
  </si>
  <si>
    <t xml:space="preserve">termination on tolstagnation=354 (Wed Mar 12 19:05:48 2025)
final/bestever f-value = 1.627883e-02 1.627882e-02 after 17631/15857 evaluations
incumbent solution: [ 7.66961277e-01 -1.19852950e-01  1.46001653e-01  8.54215765e-01
 -2.40892798e-01  2.94619976e-04  1.27670980e+00  1.37596940e-01 ...]
std deviations: [6.53012538e-06 7.71174740e-06 1.50816134e-04 2.42867660e-06
 9.66253244e-06 9.23973765e-08 3.88311989e-06 3.74392478e-06 ...]</t>
  </si>
  <si>
    <t xml:space="preserve">directly run after fmin2 as described in the docs idk what is supposed run      Evo_strat = cma.CMAEvolutionStrategy(Molsys.scaled_parameters, sdev_params).optimize(lambda x: Para.wrap_objective_function(x))</t>
  </si>
  <si>
    <t xml:space="preserve">pycma optimize after fmin2 idk</t>
  </si>
  <si>
    <t xml:space="preserve">{'all': {'NonbondedForce': [array([[1, 'OG303', -0.589731113116849, -0.1464053525054198,
           1.4268569374847149],
          [3, 'OG311', -0.6354172894988482, -0.09541497789106738,
           1.5953857568525264e-10],
          [5, 'OG2P1', -0.9100786781869961, 0.3298563286900172,
           0.28428765627992814]], dtype=object)]},
 'mol1': {'NonbondedForce': [array([[1, 'OG303', -0.589731113116849, -0.1464053525054198,
           1.4268569374847149],
          [3, 'OG311', -0.6354172894988482, -0.09541497789106738,
           1.5953857568525264e-10],
          [5, 'OG2P1', -0.9100786781869961, 0.3298563286900172,
           0.28428765627992814]], dtype=object)]},
 'mol2': {'NonbondedForce': [array([[1, 'OG303', -0.589731113116849, -0.1464053525054198,
           1.4268569374847149],
          [3, 'OG311', -0.6354172894988482, -0.09541497789106738,
           1.5953857568525264e-10],
          [5, 'OG2P1', -0.9100786781869961, 0.3298563286900172,
           0.28428765627992814]], dtype=object)]}}</t>
  </si>
  <si>
    <t xml:space="preserve">CMAEvolutionStrategyResult(xbest=array([ 7.50504156e-01, -5.76564343e-02,  9.08287342e-01,  8.85519944e-01,
       -4.13904685e-02,  2.21721288e-10,  1.27184086e+00,  1.35635991e-01,
        2.27388286e-01]), fbest=0.016640273377004272, evals_best=14447, evaluations=16220, iterations=1622, xfavorite=array([ 7.50504190e-01, -5.76562928e-02,  9.08287951e-01,  8.85519935e-01,
       -4.13907219e-02,  2.21529772e-10,  1.27184082e+00,  1.35635985e-01,
        2.27388415e-01]), stds=array([3.37359675e-10, 1.35696351e-09, 6.87337061e-09, 1.04994485e-10,
       2.40071040e-09, 8.10654083e-15, 3.62630088e-10, 9.19202596e-11,
       2.09909863e-09]), stop={'tolstagnation': 354})</t>
  </si>
  <si>
    <t xml:space="preserve">pycma evostrat default</t>
  </si>
  <si>
    <t xml:space="preserve">notebook crashed</t>
  </si>
  <si>
    <t xml:space="preserve">{'all': {'NonbondedForce': [array([[1, 'OG303', -0.6275465738205029, 0.3035925016089517, 0.0757598675522286],
        [3, 'OG311', -0.5997551350383925, 0.5883408030286035, 0.00012754423941881336],
        [5, 'OG2P1', -0.8809231538081845, -3.3909892095921745, 2.741700849313179e-23]], dtype=object)]},
		'mol1': {'NonbondedForce': [array([[1, 'OG303', -0.6275465738205029, 0.3035925016089517, 0.0757598675522286],
        [3, 'OG311', -0.5997551350383925, 0.5883408030286035, 0.00012754423941881336],
        [5, 'OG2P1', -0.8809231538081845, -3.3909892095921745, 2.741700849313179e-23]], dtype=object)]},
		'mol2': {'NonbondedForce': [array([[1, 'OG303', -0.6275465738205029, 0.3035925016089517,         0.0757598675522286],
        [3, 'OG311', -0.5997551350383925, 0.5883408030286035, 0.00012754423941881336], [5, 'OG2P1', -0.8809231538081845, -3.3909892095921745, 2.741700849313179e-23]], dtype=object)]}}</t>
  </si>
  <si>
    <t xml:space="preserve"> 6736  67360 1.689304698810452e-02 2.4e+03 2.30e+04  4e-25  9e-04 463:22.5 ###################################################################################
 #                         CMA OPTIMIZER FINISHED                            # ################################################################################### 
 optimized parameters: [ 0.9336452  -0.06643177  0.10471132  0.75158042  0.15325953  0.89194779   1.02444466  0.10575706  0.6060274 ] objective function value: 0.016822718194251848</t>
  </si>
  <si>
    <t xml:space="preserve">{'all': {'NonbondedForce': [array([[1, 'OG303', -0.6373917440539967, -0.45075099998831886,
           0.011950369525198902],
          [3, 'OG311', -0.5558723349932108, 0.6081204592490838,
           6.982299966502502e-05],
          [5, 'OG2P1', -0.9192981083262577, 0.30791074466540147,
           0.6391820788384658]], dtype=object)]},
 'mol1': {'NonbondedForce': [array([[1, 'OG303', -0.6373917440539967, -0.45075099998831886,
           0.011950369525198902],
          [3, 'OG311', -0.5558723349932108, 0.6081204592490838,
           6.982299966502502e-05],
          [5, 'OG2P1', -0.9192981083262577, 0.30791074466540147,
           0.6391820788384658]], dtype=object)]},
 'mol2': {'NonbondedForce': [array([[1, 'OG303', -0.6373917440539967, -0.45075099998831886,
           0.011950369525198902],
          [3, 'OG311', -0.5558723349932108, 0.6081204592490838,
           6.982299966502502e-05],
          [5, 'OG2P1', -0.9192981083262577, 0.30791074466540147,
           0.6391820788384658]], dtype=object)]}}</t>
  </si>
  <si>
    <t xml:space="preserve">CMAEvolutionStrategyResult(xbest=array([ 8.11169438e-01, -1.77520925e-01,  7.60052939e-03,  7.74674693e-01,
        2.63758935e-01,  9.72146027e-05,  1.28472460e+00,  1.26609218e-01,
        5.11329222e-01]), fbest=0.014624524041319874, evals_best=10722, evaluations=12850, iterations=1285, xfavorite=array([ 8.11153293e-01, -1.77509572e-01,  7.60849951e-03,  7.74666431e-01,
        2.63813063e-01,  9.68754546e-05,  1.28472700e+00,  1.26611968e-01,
        5.11242335e-01]), stds=array([3.38352700e-06, 2.10343973e-06, 2.07188304e-06, 2.36949103e-06,
       6.04543409e-06, 3.50046145e-08, 2.70032925e-06, 6.01000201e-07,
       3.82474844e-05]), stop={'tolstagnation': 354})</t>
  </si>
  <si>
    <t xml:space="preserve">the potential surface is hella uneven</t>
  </si>
  <si>
    <t xml:space="preserve">nelder-mead</t>
  </si>
  <si>
    <t xml:space="preserve">{'all': {'NonbondedForce': [array([[1, 'OG303', -0.6362775772411994, 0.31526117884617233,
           0.06514374141681345],
          [3, 'OG311', -0.5451853355867364, 0.4671912254000298,
           0.004006270346236374],
          [5, 'OG2P1', -0.9264696481620494, 0.3168581073329772,
           0.4487389493660026]], dtype=object)]},
 'mol1': {'NonbondedForce': [array([[1, 'OG303', -0.6362775772411994, 0.31526117884617233,
           0.06514374141681345],
          [3, 'OG311', -0.5451853355867364, 0.4671912254000298,
           0.004006270346236374],
          [5, 'OG2P1', -0.9264696481620494, 0.3168581073329772,
           0.4487389493660026]], dtype=object)]},
 'mol2': {'NonbondedForce': [array([[1, 'OG303', -0.6362775772411994, 0.31526117884617233,
           0.06514374141681345],
          [3, 'OG311', -0.5451853355867364, 0.4671912254000298,
           0.004006270346236374],
          [5, 'OG2P1', -0.9264696481620494, 0.3168581073329772,
           0.4487389493660026]], dtype=object)]}}</t>
  </si>
  <si>
    <t xml:space="preserve">final_simplex: (array([[0.8097402 , 0.12415387, 0.04146826, 0.75977234, 0.20266611,
        0.00556273, 1.29474731, 0.13029115, 0.35892532],
       [0.8097402 , 0.12415387, 0.04146826, 0.75977234, 0.20266611,
        0.00556273, 1.29474731, 0.13029115, 0.35892532],
       [0.8097402 , 0.12415387, 0.04146826, 0.75977234, 0.20266611,
        0.00556273, 1.29474731, 0.13029115, 0.35892532],
       [0.8097402 , 0.12415387, 0.04146826, 0.75977234, 0.20266611,
        0.00556273, 1.29474731, 0.13029115, 0.35892532],
       [0.8097402 , 0.12415387, 0.04146826, 0.75977234, 0.20266611,
        0.00556273, 1.29474731, 0.13029115, 0.35892532],
       [0.8097402 , 0.12415387, 0.04146826, 0.75977234, 0.20266611,
        0.00556273, 1.29474731, 0.13029115, 0.35892532],
       [0.8097402 , 0.12415387, 0.04146826, 0.75977234, 0.20266611,
        0.00556273, 1.29474731, 0.13029115, 0.35892532],
       [0.8097402 , 0.12415387, 0.04146826, 0.75977234, 0.20266611,
        0.00556273, 1.29474731, 0.13029115, 0.35892532],
       [0.8097402 , 0.12415387, 0.04146826, 0.75977234, 0.20266611,
        0.00556273, 1.29474731, 0.13029115, 0.35892532],
       [0.8097402 , 0.12415387, 0.04146826, 0.75977234, 0.20266611,
        0.00556273, 1.29474731, 0.13029115, 0.35892532]]), array([0.01441735, 0.01441735, 0.01441735, 0.01441735, 0.01441735,
       0.01441735, 0.01441735, 0.01441735, 0.01441735, 0.01441735]))
           fun: 0.01441735123057163
       message: 'Maximum number of iterations has been exceeded.'
          nfev: 23905
           nit: 10000
        status: 2
       success: False
             x: array([0.8097402 , 0.12415387, 0.04146826, 0.75977234, 0.20266611,
       0.00556273, 1.29474731, 0.13029115, 0.35892532])</t>
  </si>
  <si>
    <t xml:space="preserve">{'all': {'NonbondedForce': [array([[1, 'OG303', -0.6369941495149084, 0.31607412215627684,
           0.06327889566470424],
          [3, 'OG311', -0.5450071672910672, 0.4604033008529445,
           0.004953416785067052],
          [5, 'OG2P1', -0.9258992293719115, 0.3167544106004837,
           0.45041227792402605]], dtype=object)]},
 'mol1': {'NonbondedForce': [array([[1, 'OG303', -0.6369941495149084, 0.31607412215627684,
           0.06327889566470424],
          [3, 'OG311', -0.5450071672910672, 0.4604033008529445,
           0.004953416785067052],
          [5, 'OG2P1', -0.9258992293719115, 0.3167544106004837,
           0.45041227792402605]], dtype=object)]},
 'mol2': {'NonbondedForce': [array([[1, 'OG303', -0.6369941495149084, 0.31607412215627684,
           0.06327889566470424],
          [3, 'OG311', -0.5450071672910672, 0.4604033008529445,
           0.004953416785067052],
          [5, 'OG2P1', -0.9258992293719115, 0.3167544106004837,
           0.45041227792402605]], dtype=object)]}}</t>
  </si>
  <si>
    <t xml:space="preserve"> final_simplex: (array([[0.81065213, 0.12447402, 0.04028116, 0.75952405, 0.19972153,
        0.00687785, 1.29395014, 0.13024851, 0.36026373],
       [0.81065212, 0.12447402, 0.04028116, 0.75952404, 0.19972153,
        0.00687785, 1.29395014, 0.13024851, 0.36026374],
       [0.81065212, 0.12447402, 0.04028116, 0.75952405, 0.19972153,
        0.00687785, 1.29395014, 0.13024851, 0.36026373],
       [0.81065212, 0.12447402, 0.04028116, 0.75952405, 0.19972153,
        0.00687785, 1.29395014, 0.13024851, 0.36026373],
       [0.81065212, 0.12447402, 0.04028116, 0.75952405, 0.19972153,
        0.00687785, 1.29395014, 0.13024851, 0.36026374],
       [0.81065212, 0.12447402, 0.04028116, 0.75952405, 0.19972153,
        0.00687785, 1.29395014, 0.13024851, 0.36026374],
       [0.81065212, 0.12447402, 0.04028116, 0.75952405, 0.19972153,
        0.00687785, 1.29395014, 0.13024851, 0.36026373],
       [0.81065212, 0.12447402, 0.04028116, 0.75952404, 0.19972153,
        0.00687785, 1.29395014, 0.13024851, 0.36026374],
       [0.81065212, 0.12447402, 0.04028116, 0.75952405, 0.19972153,
        0.00687785, 1.29395014, 0.13024851, 0.36026374],
       [0.81065212, 0.12447402, 0.04028116, 0.75952405, 0.19972153,
        0.00687785, 1.29395015, 0.13024851, 0.36026373]]), array([0.01442013, 0.01442013, 0.01442013, 0.01442013, 0.01442013,
       0.01442013, 0.01442013, 0.01442013, 0.01442013, 0.01442013]))
           fun: 0.014420130595642757
       message: 'Optimization terminated successfully.'
          nfev: 3261
           nit: 2222
        status: 0
       success: True
             x: array([0.81065213, 0.12447402, 0.04028116, 0.75952405, 0.19972153,
       0.00687785, 1.29395014, 0.13024851, 0.36026373])</t>
  </si>
  <si>
    <t xml:space="preserve">scipy nelder-mead</t>
  </si>
  <si>
    <t xml:space="preserve">{'all': {'NonbondedForce': [array([[1, 'OG303', -0.56, 0.29399657698631193, 0.41840000000000005],
          [3, 'OG311', -0.622, 0.3144872475035398, 0.8037464],
          [5, 'OG2P1', -0.624, 0.30290556416771536, 0.50208]], dtype=object)]},
 'mol1': {'NonbondedForce': [array([[1, 'OG303', -0.56, 0.29399657698631193, 0.41840000000000005],
          [3, 'OG311', -0.622, 0.3144872475035398, 0.8037464],
          [5, 'OG2P1', -0.624, 0.30290556416771536, 0.50208]], dtype=object)]},
 'mol2': {'NonbondedForce': []}}</t>
  </si>
  <si>
    <t xml:space="preserve">{'all': {'NonbondedForce': [array([[1, 'OG303', -1.1863326661705502, 0.1336603973325345,
           0.5772217057038243],
          [3, 'OG311', -1.1486151512123923, 0.03144561581338438,
           0.5746819248426506],
          [5, 'OG2P1', -0.8973661516657095, -0.2095467172922465,
           0.6159164187161585]], dtype=object)]},
 'mol1': {'NonbondedForce': [array([[1, 'OG303', -1.1863326661705502, 0.1336603973325345,
           0.5772217057038243],
          [3, 'OG311', -1.1486151512123923, 0.03144561581338438,
           0.5746819248426506],
          [5, 'OG2P1', -0.8973661516657095, -0.2095467172922465,
           0.6159164187161585]], dtype=object)]}}</t>
  </si>
  <si>
    <t xml:space="preserve">final_simplex: (array([[ 1.50975185,  0.05263717,  0.36743944,  1.60071441,  0.01364101,
         0.79794907,  1.25407498, -0.08616501,  0.49264277],
       [ 1.50975185,  0.05263717,  0.36743944,  1.60071441,  0.01364101,
         0.79794907,  1.25407498, -0.08616501,  0.49264277],
       [ 1.50975185,  0.05263717,  0.36743944,  1.60071441,  0.01364101,
         0.79794907,  1.25407498, -0.08616501,  0.49264277],
       [ 1.50975185,  0.05263717,  0.36743944,  1.60071441,  0.01364101,
         0.79794907,  1.25407498, -0.08616501,  0.49264277],
       [ 1.50975185,  0.05263717,  0.36743944,  1.60071441,  0.01364101,
         0.79794907,  1.25407498, -0.08616501,  0.49264277],
       [ 1.50975185,  0.05263717,  0.36743944,  1.60071441,  0.01364101,
         0.79794907,  1.25407498, -0.08616501,  0.49264277],
       [ 1.50975185,  0.05263717,  0.36743944,  1.60071441,  0.01364101,
         0.79794907,  1.25407498, -0.08616501,  0.49264277],
       [ 1.50975185,  0.05263717,  0.36743944,  1.60071441,  0.01364101,
         0.79794907,  1.25407498, -0.08616501,  0.49264277],
       [ 1.50975185,  0.05263717,  0.36743944,  1.60071441,  0.01364101,
         0.79794907,  1.25407498, -0.08616501,  0.49264277],
       [ 1.50975185,  0.05263717,  0.36743944,  1.60071441,  0.01364101,
         0.79794907,  1.25407498, -0.08616501,  0.49264277]]), array([1.20971349e+17, 1.20971349e+17, 1.20971349e+17, 1.20971349e+17,
       1.20971349e+17, 1.20971349e+17, 1.20971349e+17, 1.20971349e+17,
       1.20971349e+17, 1.20971349e+17]))
           fun: 1.20971348960932e+17
       message: 'Maximum number of iterations has been exceeded.'
          nfev: 24654
           nit: 10000
        status: 2
       success: False
             x: array([ 1.50975185,  0.05263717,  0.36743944,  1.60071441,  0.01364101,
        0.79794907,  1.25407498, -0.08616501,  0.49264277])</t>
  </si>
  <si>
    <t xml:space="preserve">{'all': {'NonbondedForce': [array([[1, 'OG303', -1.186332575000807, 0.1336597012330783,
           0.5772204222046275],
          [3, 'OG311', -1.1486133252786956, 0.031445997428572105,
           0.5746814002895825],
          [5, 'OG2P1', -0.8973685747944398, -0.20954879740460974,
           0.6159181579469607]], dtype=object)]},
 'mol1': {'NonbondedForce': [array([[1, 'OG303', -1.186332575000807, 0.1336597012330783,
           0.5772204222046275],
          [3, 'OG311', -1.1486133252786956, 0.031445997428572105,
           0.5746814002895825],
          [5, 'OG2P1', -0.8973685747944398, -0.20954879740460974,
           0.6159181579469607]], dtype=object)]}}</t>
  </si>
  <si>
    <t xml:space="preserve"> final_simplex: (array([[ 1.50975173,  0.05263689,  0.36743863,  1.60071187,  0.01364118,
         0.79794834,  1.25407837, -0.08616587,  0.49264416],
       [ 1.50975173,  0.05263689,  0.36743863,  1.60071187,  0.01364118,
         0.79794834,  1.25407837, -0.08616587,  0.49264416],
       [ 1.50975173,  0.05263689,  0.36743863,  1.60071187,  0.01364118,
         0.79794834,  1.25407837, -0.08616587,  0.49264416],
       [ 1.50975173,  0.05263689,  0.36743863,  1.60071187,  0.01364118,
         0.79794834,  1.25407837, -0.08616587,  0.49264416],
       [ 1.50975173,  0.05263689,  0.36743863,  1.60071187,  0.01364118,
         0.79794834,  1.25407837, -0.08616587,  0.49264416],
       [ 1.50975173,  0.05263689,  0.36743863,  1.60071187,  0.01364118,
         0.79794834,  1.25407837, -0.08616587,  0.49264416],
       [ 1.50975173,  0.05263689,  0.36743863,  1.60071187,  0.01364118,
         0.79794834,  1.25407837, -0.08616587,  0.49264416],
       [ 1.50975173,  0.05263689,  0.36743863,  1.60071187,  0.01364118,
         0.79794834,  1.25407837, -0.08616587,  0.49264416],
       [ 1.50975173,  0.05263689,  0.36743863,  1.60071187,  0.01364118,
         0.79794834,  1.25407837, -0.08616587,  0.49264416],
       [ 1.50975173,  0.05263689,  0.36743863,  1.60071187,  0.01364118,
         0.79794834,  1.25407837, -0.08616587,  0.49264416]]), array([1.20971349e+17, 1.20971349e+17, 1.20971349e+17, 1.20971349e+17,
       1.20971349e+17, 1.20971349e+17, 1.20971349e+17, 1.20971349e+17,
       1.20971349e+17, 1.20971350e+17]))
           fun: 1.2097134896093022e+17
       message: 'Maximum number of iterations has been exceeded.'
          nfev: 76527
           nit: 30000
        status: 2
       success: False
             x: array([ 1.50975173,  0.05263689,  0.36743863,  1.60071187,  0.01364118,
        0.79794834,  1.25407837, -0.08616587,  0.49264416])</t>
  </si>
  <si>
    <t xml:space="preserve">pycma</t>
  </si>
  <si>
    <t xml:space="preserve">success?</t>
  </si>
  <si>
    <t xml:space="preserve">{'all': {'NonbondedForce': [array([[1, 'OG303', -0.3908437769972384, -0.4375322269897022,
           0.23535795157906209],
          [3, 'OG311', -0.337133866307446, -0.23511334981916907,
           0.7167410542838984],
          [5, 'OG2P1', -0.1551099053097119, -0.17773412141594372,
           0.6191003437412956]], dtype=object)]},
 'mol1': {'NonbondedForce': [array([[1, 'OG303', -0.3908437769972384, -0.4375322269897022,
           0.23535795157906209],
          [3, 'OG311', -0.337133866307446, -0.23511334981916907,
           0.7167410542838984],
          [5, 'OG2P1', -0.1551099053097119, -0.17773412141594372,
           0.6191003437412956]], dtype=object)]}}</t>
  </si>
  <si>
    <t xml:space="preserve">CMAEvolutionStrategyResult(xbest=array([ 0.50286311, -0.17168871,  0.15380368,  0.46520483, -0.09507097,
        0.99454676,  0.21798447, -0.07136839,  0.49195217]), fbest=1.2097134895747128e+17, evals_best=8660, evaluations=12350, iterations=1235, xfavorite=array([ 0.49741082, -0.17230484,  0.14981915,  0.46982716, -0.10196237,
        0.99518571,  0.21675531, -0.07308439,  0.49521258]), stds=array([1.43746855e-04, 1.40642355e-05, 9.13168258e-05, 1.04796105e-04,
       1.99911827e-04, 7.23701547e-05, 2.97727617e-05, 4.17366132e-05,
       7.48108027e-05]), stop={'tolstagnation': 354})</t>
  </si>
  <si>
    <t xml:space="preserve">comments</t>
  </si>
  <si>
    <t xml:space="preserve">objective function</t>
  </si>
  <si>
    <t xml:space="preserve">balanced charges</t>
  </si>
  <si>
    <t xml:space="preserve">MD applicability</t>
  </si>
  <si>
    <t xml:space="preserve">{'all': {'NonbondedForce': [array([[1, 'OG303', -0.56, 0.29399657698631193, 0.41840000000000005],
          [2, 'PG0', 1.493, 0.38308644880034587, 2.44764],
          [3, 'OG311', -0.622, 0.3144872475035398, 0.8037464],
          [5, 'OG2P1', -0.624, 0.30290556416771536, 0.50208]], dtype=object)]},
 'mol1': {'NonbondedForce': [array([[1, 'OG303', -0.56, 0.29399657698631193, 0.41840000000000005],
          [2, 'PG0', 1.493, 0.38308644880034587, 2.44764],
          [3, 'OG311', -0.622, 0.3144872475035398, 0.8037464],
          [5, 'OG2P1', -0.624, 0.30290556416771536, 0.50208]], dtype=object)]},
 'mol2': {'NonbondedForce': [array([[1, 'OG303', -0.56, 0.29399657698631193, 0.41840000000000005],
          [2, 'PG0', 1.493, 0.38308644880034587, 2.44764],
          [3, 'OG311', -0.622, 0.3144872475035398, 0.8037464],
          [5, 'OG2P1', -0.624, 0.30290556416771536, 0.50208]], dtype=object)]}}</t>
  </si>
  <si>
    <t xml:space="preserve">{'all': {'NonbondedForce': [array([[1, 'OG303', -0.859189452511017, 0.36845931770015505,
           0.009874463563195055],
          [2, 'PG0', 2.608928623502702, -0.16666049844105157,
           1.150228802613494],
          [3, 'OG311', -0.8243128020823721, 0.4580025675895551,
           0.010181464757907724],
          [5, 'OG2P1', -1.0903822476056235, 0.30953365032948127,
           0.35123409463019706]], dtype=object)]},
 'mol1': {'NonbondedForce': [array([[1, 'OG303', -0.859189452511017, 0.36845931770015505,
           0.009874463563195055],
          [2, 'PG0', 2.608928623502702, -0.16666049844105157,
           1.150228802613494],
          [3, 'OG311', -0.8243128020823721, 0.4580025675895551,
           0.010181464757907724],
          [5, 'OG2P1', -1.0903822476056235, 0.30953365032948127,
           0.35123409463019706]], dtype=object)]},
 'mol2': {'NonbondedForce': [array([[1, 'OG303', -0.859189452511017, 0.36845931770015505,
           0.009874463563195055],
          [2, 'PG0', 2.608928623502702, -0.16666049844105157,
           1.150228802613494],
          [3, 'OG311', -0.8243128020823721, 0.4580025675895551,
           0.010181464757907724],
          [5, 'OG2P1', -1.0903822476056235, 0.30953365032948127,
           0.35123409463019706]], dtype=object)]}}</t>
  </si>
  <si>
    <t xml:space="preserve"> final_simplex: (array([[ 1.00456840e+00, -5.89743186e-02, -1.28879962e-04,
         3.27884519e+00,  9.12983892e-03,  2.74312856e+00,
         1.02418290e+00, -6.22165204e-02,  4.50329435e-03,
         1.35734283e+00, -4.62842510e-02,  3.01467382e-02],
       [ 1.00456840e+00, -5.89743186e-02, -1.28879962e-04,
         3.27884519e+00,  9.12983894e-03,  2.74312856e+00,
         1.02418290e+00, -6.22165205e-02,  4.50329434e-03,
         1.35734283e+00, -4.62842510e-02,  3.01467382e-02],
       [ 1.00456840e+00, -5.89743186e-02, -1.28879962e-04,
         3.27884519e+00,  9.12983892e-03,  2.74312856e+00,
         1.02418290e+00, -6.22165204e-02,  4.50329435e-03,
         1.35734283e+00, -4.62842510e-02,  3.01467382e-02],
       [ 1.00456840e+00, -5.89743186e-02, -1.28879963e-04,
         3.27884519e+00,  9.12983887e-03,  2.74312856e+00,
         1.02418290e+00, -6.22165204e-02,  4.50329437e-03,
         1.35734283e+00, -4.62842510e-02,  3.01467383e-02],
       [ 1.00456840e+00, -5.89743186e-02, -1.28879962e-04,
         3.27884519e+00,  9.12983893e-03,  2.74312856e+00,
         1.02418290e+00, -6.22165205e-02,  4.50329434e-03,
         1.35734283e+00, -4.62842510e-02,  3.01467382e-02],
       [ 1.00456840e+00, -5.89743186e-02, -1.28879962e-04,
         3.27884519e+00,  9.12983893e-03,  2.74312856e+00,
         1.02418290e+00, -6.22165204e-02,  4.50329434e-03,
         1.35734283e+00, -4.62842510e-02,  3.01467382e-02],
       [ 1.00456840e+00, -5.89743186e-02, -1.28879962e-04,
         3.27884519e+00,  9.12983899e-03,  2.74312855e+00,
         1.02418290e+00, -6.22165205e-02,  4.50329432e-03,
         1.35734283e+00, -4.62842510e-02,  3.01467382e-02],
       [ 1.00456840e+00, -5.89743186e-02, -1.28879962e-04,
         3.27884519e+00,  9.12983894e-03,  2.74312856e+00,
         1.02418290e+00, -6.22165205e-02,  4.50329434e-03,
         1.35734283e+00, -4.62842510e-02,  3.01467382e-02],
       [ 1.00456840e+00, -5.89743186e-02, -1.28879961e-04,
         3.27884519e+00,  9.12983895e-03,  2.74312856e+00,
         1.02418290e+00, -6.22165205e-02,  4.50329433e-03,
         1.35734283e+00, -4.62842510e-02,  3.01467382e-02],
       [ 1.00456840e+00, -5.89743186e-02, -1.28879962e-04,
         3.27884519e+00,  9.12983892e-03,  2.74312856e+00,
         1.02418290e+00, -6.22165204e-02,  4.50329435e-03,
         1.35734283e+00, -4.62842510e-02,  3.01467382e-02],
       [ 1.00456840e+00, -5.89743186e-02, -1.28879962e-04,
         3.27884519e+00,  9.12983897e-03,  2.74312855e+00,
         1.02418290e+00, -6.22165205e-02,  4.50329432e-03,
         1.35734283e+00, -4.62842510e-02,  3.01467382e-02],
       [ 1.00456840e+00, -5.89743186e-02, -1.28879962e-04,
         3.27884519e+00,  9.12983890e-03,  2.74312856e+00,
         1.02418290e+00, -6.22165204e-02,  4.50329436e-03,
         1.35734283e+00, -4.62842510e-02,  3.01467383e-02],
       [ 1.00456840e+00, -5.89743186e-02, -1.28879963e-04,
         3.27884519e+00,  9.12983892e-03,  2.74312856e+00,
         1.02418290e+00, -6.22165204e-02,  4.50329434e-03,
         1.35734283e+00, -4.62842510e-02,  3.01467382e-02]]), array([0.01100311, 0.01100311, 0.01100311, 0.01100311, 0.01100311,
       0.01100311, 0.01100311, 0.01100311, 0.01100311, 0.01100311,
       0.01100311, 0.01100311, 0.01100311]))
           fun: 0.011003105560104542
       message: 'Optimization terminated successfully.'
          nfev: 1630
           nit: 1032
        status: 0
       success: True
             x: array([ 1.00456840e+00, -5.89743186e-02, -1.28879962e-04,  3.27884519e+00,
        9.12983892e-03,  2.74312856e+00,  1.02418290e+00, -6.22165204e-02,
        4.50329435e-03,  1.35734283e+00, -4.62842510e-02,  3.01467382e-02])</t>
  </si>
  <si>
    <t xml:space="preserve">mm geom mm forces, qm geom qm forces</t>
  </si>
  <si>
    <t xml:space="preserve">with var as constant</t>
  </si>
  <si>
    <t xml:space="preserve">{'all': {'NonbondedForce' :[array([[1, 'OG303', -0.845],
          [2, 'PG0', 2.609],
          [3, 'OG311', -0.811],
          [5, 'OG2P1', -1.077])]}</t>
  </si>
  <si>
    <t xml:space="preserve">{'all': {'NonbondedForce': [array([[1, 'OG303', -0.6960695582156922, 0.2988648732412171,
           0.8823251680901996],
          [2, 'PG0', 1.6080126672034531, -0.41332654897298376,
           0.7206696799969193],
          [3, 'OG311', -0.577191134905967, 0.4153039068047036,
           0.022358228759260943],
          [5, 'OG2P1', -0.9264757700329689, 0.2850915692338954,
           1.911294300070185]], dtype=object)]},
 'mol1': {'NonbondedForce': [array([[1, 'OG303', -0.6960695582156922, 0.2988648732412171,
           0.8823251680901996],
          [2, 'PG0', 1.6080126672034531, -0.41332654897298376,
           0.7206696799969193],
          [3, 'OG311', -0.577191134905967, 0.4153039068047036,
           0.022358228759260943],
          [5, 'OG2P1', -0.9264757700329689, 0.2850915692338954,
           1.911294300070185]], dtype=object)]},
 'mol2': {'NonbondedForce': [array([[1, 'OG303', -0.6960695582156922, 0.2988648732412171,
           0.8823251680901996],
          [2, 'PG0', 1.6080126672034531, -0.41332654897298376,
           0.7206696799969193],
          [3, 'OG311', -0.577191134905967, 0.4153039068047036,
           0.022358228759260943],
          [5, 'OG2P1', -0.9264757700329689, 0.2850915692338954,
           1.911294300070185]], dtype=object)]}}</t>
  </si>
  <si>
    <t xml:space="preserve"> final_simplex: (array([[ 0.81384785, -0.04783527, -0.01151597,  2.02091562,  0.02264247,
         1.71869246,  0.71714195, -0.0564162 ,  0.00988912,  1.15330678,
        -0.04262945,  0.16404811],
       [ 0.81384785, -0.04783527, -0.01151597,  2.02091562,  0.02264247,
         1.71869247,  0.71714195, -0.0564162 ,  0.00988912,  1.15330678,
        -0.04262945,  0.16404811],
       [ 0.81384785, -0.04783527, -0.01151597,  2.02091562,  0.02264247,
         1.71869247,  0.71714195, -0.0564162 ,  0.00988912,  1.15330678,
        -0.04262945,  0.16404811],
       [ 0.81384785, -0.04783527, -0.01151597,  2.02091562,  0.02264247,
         1.71869246,  0.71714195, -0.0564162 ,  0.00988912,  1.15330678,
        -0.04262945,  0.16404811],
       [ 0.81384785, -0.04783527, -0.01151597,  2.02091562,  0.02264247,
         1.71869247,  0.71714195, -0.0564162 ,  0.00988912,  1.15330678,
        -0.04262945,  0.16404811],
       [ 0.81384785, -0.04783527, -0.01151597,  2.02091562,  0.02264247,
         1.71869247,  0.71714195, -0.0564162 ,  0.00988912,  1.15330678,
        -0.04262945,  0.16404811],
       [ 0.81384785, -0.04783527, -0.01151597,  2.02091562,  0.02264247,
         1.71869247,  0.71714195, -0.0564162 ,  0.00988912,  1.15330678,
        -0.04262945,  0.16404811],
       [ 0.81384785, -0.04783527, -0.01151597,  2.02091562,  0.02264247,
         1.71869247,  0.71714195, -0.0564162 ,  0.00988912,  1.15330678,
        -0.04262945,  0.16404811],
       [ 0.81384785, -0.04783527, -0.01151597,  2.02091562,  0.02264247,
         1.71869247,  0.71714195, -0.0564162 ,  0.00988912,  1.15330678,
        -0.04262945,  0.16404811],
       [ 0.81384785, -0.04783527, -0.01151597,  2.02091562,  0.02264247,
         1.71869246,  0.71714195, -0.0564162 ,  0.00988912,  1.15330678,
        -0.04262945,  0.16404811],
       [ 0.81384785, -0.04783527, -0.01151597,  2.02091562,  0.02264247,
         1.71869247,  0.71714195, -0.0564162 ,  0.00988912,  1.15330678,
        -0.04262945,  0.16404811],
       [ 0.81384785, -0.04783527, -0.01151597,  2.02091562,  0.02264247,
         1.71869247,  0.71714195, -0.0564162 ,  0.00988912,  1.15330678,
        -0.04262945,  0.16404811],
       [ 0.81384785, -0.04783527, -0.01151597,  2.02091562,  0.02264247,
         1.71869247,  0.71714195, -0.0564162 ,  0.00988912,  1.15330678,
        -0.04262945,  0.16404811]]), array([0.0106465, 0.0106465, 0.0106465, 0.0106465, 0.0106465, 0.0106465,
       0.0106465, 0.0106465, 0.0106465, 0.0106465, 0.0106465, 0.0106465,
       0.0106465]))
           fun: 0.010646500726416855
       message: 'Optimization terminated successfully.'
          nfev: 3436
           nit: 2341
        status: 0
       success: True
             x: array([ 0.81384785, -0.04783527, -0.01151597,  2.02091562,  0.02264247,
        1.71869246,  0.71714195, -0.0564162 ,  0.00988912,  1.15330678,
       -0.04262945,  0.16404811])</t>
  </si>
  <si>
    <t xml:space="preserve">qm geom mm forces, qm geom qm forces</t>
  </si>
  <si>
    <t xml:space="preserve">{'all': {'NonbondedForce' :[array([[1, 'OG303', -0.650],
          [2, 'PG0', 1.655],
          [3, 'OG311', -0.530],
          [5, 'OG2P1', -0.880])]}</t>
  </si>
  <si>
    <t xml:space="preserve">looks good so far</t>
  </si>
  <si>
    <t xml:space="preserve">{'all': {'NonbondedForce': [array([[1, 'OG303', -0.7016765857993121, 0.31851692753349203,
           0.3674209037795488],
          [2, 'PG0', 1.6046157643426793, -0.4183864536071006,
           0.6930581290785744],
          [3, 'OG311', -0.5782679866938397, 0.3395607570602869,
           0.4072136933780837],
          [5, 'OG2P1', -0.921777253620706, 0.28010350750853197,
           2.453324040768384]], dtype=object)]},
 'mol1': {'NonbondedForce': [array([[1, 'OG303', -0.7016765857993121, 0.31851692753349203,
           0.3674209037795488],
          [2, 'PG0', 1.6046157643426793, -0.4183864536071006,
           0.6930581290785744],
          [3, 'OG311', -0.5782679866938397, 0.3395607570602869,
           0.4072136933780837],
          [5, 'OG2P1', -0.921777253620706, 0.28010350750853197,
           2.453324040768384]], dtype=object)]},
 'mol2': {'NonbondedForce': [array([[1, 'OG303', -0.7016765857993121, 0.31851692753349203,
           0.3674209037795488],
          [2, 'PG0', 1.6046157643426793, -0.4183864536071006,
           0.6930581290785744],
          [3, 'OG311', -0.5782679866938397, 0.3395607570602869,
           0.4072136933780837],
          [5, 'OG2P1', -0.921777253620706, 0.28010350750853197,
           2.453324040768384]], dtype=object)]}}</t>
  </si>
  <si>
    <t xml:space="preserve"> final_simplex: (array([[ 0.82040361, -0.05098071, -0.00479552,  2.01664646,  0.02291965,
         1.65284293,  0.7184799 , -0.04612701,  0.18011192,  1.14745792,
        -0.04188359,  0.21057101],
       [ 0.82040361, -0.05098071, -0.00479552,  2.01664646,  0.02291965,
         1.65284293,  0.7184799 , -0.04612701,  0.18011192,  1.14745792,
        -0.04188359,  0.21057101],
       [ 0.82040361, -0.05098071, -0.00479552,  2.01664646,  0.02291965,
         1.65284293,  0.7184799 , -0.04612701,  0.18011192,  1.14745792,
        -0.04188359,  0.21057101],
       [ 0.82040361, -0.05098071, -0.00479552,  2.01664646,  0.02291965,
         1.65284293,  0.7184799 , -0.04612701,  0.18011192,  1.14745792,
        -0.04188359,  0.21057101],
       [ 0.82040361, -0.05098071, -0.00479552,  2.01664646,  0.02291965,
         1.65284293,  0.7184799 , -0.04612701,  0.18011192,  1.14745792,
        -0.04188359,  0.21057101],
       [ 0.82040361, -0.05098071, -0.00479552,  2.01664646,  0.02291965,
         1.65284293,  0.7184799 , -0.04612701,  0.18011192,  1.14745792,
        -0.04188359,  0.21057101],
       [ 0.82040361, -0.05098071, -0.00479552,  2.01664646,  0.02291965,
         1.65284293,  0.7184799 , -0.04612701,  0.18011192,  1.14745792,
        -0.04188359,  0.21057101],
       [ 0.82040361, -0.05098071, -0.00479552,  2.01664646,  0.02291965,
         1.65284293,  0.7184799 , -0.04612701,  0.18011192,  1.14745792,
        -0.04188359,  0.21057101],
       [ 0.82040361, -0.05098071, -0.00479552,  2.01664646,  0.02291965,
         1.65284293,  0.7184799 , -0.04612701,  0.18011192,  1.14745792,
        -0.04188359,  0.21057101],
       [ 0.82040361, -0.05098071, -0.00479552,  2.01664646,  0.02291965,
         1.65284293,  0.7184799 , -0.04612701,  0.18011192,  1.14745792,
        -0.04188359,  0.21057101],
       [ 0.82040361, -0.05098071, -0.00479552,  2.01664646,  0.02291965,
         1.65284293,  0.7184799 , -0.04612701,  0.18011192,  1.14745792,
        -0.04188359,  0.21057101],
       [ 0.82040361, -0.05098071, -0.00479552,  2.01664646,  0.02291965,
         1.65284293,  0.7184799 , -0.04612701,  0.18011192,  1.14745792,
        -0.04188359,  0.21057101],
       [ 0.82040361, -0.05098071, -0.00479552,  2.01664646,  0.02291965,
         1.65284293,  0.7184799 , -0.04612701,  0.18011192,  1.14745792,
        -0.04188359,  0.21057101]]), array([2021.99820648, 2021.99827538, 2021.99828464, 2021.99828763,
       2021.99830056, 2021.99830125, 2021.99830392, 2021.99830577,
       2021.99831068, 2021.99832033, 2021.99832798, 2021.99833182,
       2021.99833382]))
           fun: 2021.998206476405
       message: 'Maximum number of iterations has been exceeded.'
          nfev: 28040
           nit: 10000
        status: 2
       success: False
             x: array([ 0.82040361, -0.05098071, -0.00479552,  2.01664646,  0.02291965,
        1.65284293,  0.7184799 , -0.04612701,  0.18011192,  1.14745792,
       -0.04188359,  0.21057101])</t>
  </si>
  <si>
    <t xml:space="preserve">no var</t>
  </si>
  <si>
    <t xml:space="preserve">-</t>
  </si>
  <si>
    <t xml:space="preserve">{'all': {'NonbondedForce': [array([[1, 'OG303', -0.45087482242178717, 0.2945599216312559,
           1.8497200635800939],
          [2, 'PG0', 1.4234724554523088, -0.33588180327458855,
           7.557171867927576],
          [3, 'OG311', -0.6368790738614322, 0.32305932896321254,
           0.33083814044671755],
          [5, 'OG2P1', -0.736455217506564, 0.3055851535007516,
           0.6499987504123456]], dtype=object)]},
 'mol1': {'NonbondedForce': [array([[1, 'OG303', -0.45087482242178717, 0.2945599216312559,
           1.8497200635800939],
          [2, 'PG0', 1.4234724554523088, -0.33588180327458855,
           7.557171867927576],
          [3, 'OG311', -0.6368790738614322, 0.32305932896321254,
           0.33083814044671755],
          [5, 'OG2P1', -0.736455217506564, 0.3055851535007516,
           0.6499987504123456]], dtype=object)]},
 'mol2': {'NonbondedForce': [array([[1, 'OG303', -0.45087482242178717, 0.2945599216312559,
           1.8497200635800939],
          [2, 'PG0', 1.4234724554523088, -0.33588180327458855,
           7.557171867927576],
          [3, 'OG311', -0.6368790738614322, 0.32305932896321254,
           0.33083814044671755],
          [5, 'OG2P1', -0.736455217506564, 0.3055851535007516,
           0.6499987504123456]], dtype=object)]}}</t>
  </si>
  <si>
    <t xml:space="preserve"> final_simplex: (array([[ 0.52716499, -0.04714624, -0.02414226,  1.78898946,  0.01839996,
        18.0227568 ,  0.79130235, -0.0438854 ,  0.14633077,  0.9167631 ,
        -0.04569384,  0.05578998],
       [ 0.52716499, -0.04714624, -0.02414226,  1.78898946,  0.01839996,
        18.02275681,  0.79130235, -0.0438854 ,  0.14633077,  0.9167631 ,
        -0.04569384,  0.05578998],
       [ 0.52716499, -0.04714624, -0.02414226,  1.78898946,  0.01839996,
        18.0227568 ,  0.79130235, -0.0438854 ,  0.14633077,  0.9167631 ,
        -0.04569384,  0.05578998],
       [ 0.52716499, -0.04714624, -0.02414226,  1.78898946,  0.01839996,
        18.02275679,  0.79130235, -0.0438854 ,  0.14633077,  0.9167631 ,
        -0.04569384,  0.05578998],
       [ 0.52716499, -0.04714624, -0.02414226,  1.78898946,  0.01839996,
        18.02275679,  0.79130235, -0.0438854 ,  0.14633077,  0.9167631 ,
        -0.04569384,  0.05578998],
       [ 0.52716499, -0.04714624, -0.02414226,  1.78898946,  0.01839996,
        18.0227568 ,  0.79130235, -0.0438854 ,  0.14633077,  0.9167631 ,
        -0.04569384,  0.05578998],
       [ 0.52716499, -0.04714624, -0.02414226,  1.78898946,  0.01839996,
        18.02275679,  0.79130235, -0.0438854 ,  0.14633077,  0.9167631 ,
        -0.04569384,  0.05578998],
       [ 0.52716499, -0.04714624, -0.02414226,  1.78898946,  0.01839996,
        18.02275679,  0.79130235, -0.0438854 ,  0.14633077,  0.9167631 ,
        -0.04569384,  0.05578998],
       [ 0.52716499, -0.04714624, -0.02414226,  1.78898946,  0.01839996,
        18.0227568 ,  0.79130235, -0.0438854 ,  0.14633077,  0.9167631 ,
        -0.04569384,  0.05578998],
       [ 0.52716499, -0.04714624, -0.02414226,  1.78898946,  0.01839996,
        18.02275679,  0.79130235, -0.0438854 ,  0.14633077,  0.9167631 ,
        -0.04569384,  0.05578998],
       [ 0.52716499, -0.04714624, -0.02414226,  1.78898946,  0.01839996,
        18.0227568 ,  0.79130235, -0.0438854 ,  0.14633077,  0.9167631 ,
        -0.04569384,  0.05578998],
       [ 0.52716499, -0.04714624, -0.02414226,  1.78898946,  0.01839996,
        18.02275679,  0.79130235, -0.0438854 ,  0.14633077,  0.9167631 ,
        -0.04569384,  0.05578998],
       [ 0.52716499, -0.04714624, -0.02414226,  1.78898946,  0.01839996,
        18.0227568 ,  0.79130235, -0.0438854 ,  0.14633077,  0.9167631 ,
        -0.04569384,  0.05578998]]), array([0.016973  , 0.016973  , 0.016973  , 0.016973  , 0.016973  ,
       0.016973  , 0.016973  , 0.016973  , 0.01697301, 0.01697301,
       0.01697301, 0.01697301, 0.01697301]))
           fun: 0.016973002992844707
       message: 'Optimization terminated successfully.'
          nfev: 3902
           nit: 2736
        status: 0
       success: True
             x: array([ 0.52716499, -0.04714624, -0.02414226,  1.78898946,  0.01839996,
       18.0227568 ,  0.79130235, -0.0438854 ,  0.14633077,  0.9167631 ,
       -0.04569384,  0.05578998])</t>
  </si>
  <si>
    <t xml:space="preserve">individual var for each conformation</t>
  </si>
  <si>
    <t xml:space="preserve">{'all': {'NonbondedForce' :[array([[1, 'OG303', -0.431],
          [2, 'PG0', 1.444],
          [3, 'OG311', -0.616],
          [5, 'OG2P1', -0.716])]}</t>
  </si>
  <si>
    <t xml:space="preserve">optimizer</t>
  </si>
  <si>
    <t xml:space="preserve">md applicability</t>
  </si>
  <si>
    <t xml:space="preserve">{'all': {'NonbondedForce': [array([[1, 'OG303', -0.56, 0.29399657698631193, 0.41840000000000005], [2, 'PG0', 1.493, 0.38308644880034587, 2.44764], [3, 'OG311', -0.622, 0.3144872475035398, 0.8037464], [5, 'OG2P1', -0.624, 0.30290556416771536, 0.50208], [9, 'HGP1', 0.42, 0.04000135244450124, 0.192464]], dtype=object)]}, 'mol1': {'NonbondedForce': [array([[1, 'OG303', -0.56, 0.29399657698631193, 0.41840000000000005], [2, 'PG0', 1.493, 0.38308644880034587, 2.44764], [3, 'OG311', -0.622, 0.3144872475035398, 0.8037464], [5, 'OG2P1', -0.624, 0.30290556416771536, 0.50208], [9, 'HGP1', 0.42, 0.04000135244450124, 0.192464]], dtype=object)]}, 'mol2': {'NonbondedForce': [array([[1, 'OG303', -0.56, 0.29399657698631193, 0.41840000000000005], [2, 'PG0', 1.493, 0.38308644880034587, 2.44764], [3, 'OG311', -0.622, 0.3144872475035398, 0.8037464], [5, 'OG2P1', -0.624, 0.30290556416771536, 0.50208], [9, 'HGP1', 0.42, 0.04000135244450124, 0.192464]], dtype=object)]}}</t>
  </si>
  <si>
    <t xml:space="preserve">{'all': {'NonbondedForce': [array([[1, 'OG303', -0.7533368236802676, 0.29839631240666536, 1.1098340748923061], [2, 'PG0', 2.394829314075864, 0.44710914604703483, 0.09711498568356365], [3, 'OG311', -0.8702293776713194, 0.2965397768593292, 2.9274505715407413], [5, 'OG2P1', -1.0602737676198974, 0.2914728595931563, 1.4269193729104113], [9, 'HGP1', 0.4740196184447392, -0.06423824604943985, 0.017509598353243467]], dtype=object)]}, 'mol1': {'NonbondedForce': [array([[1, 'OG303', -0.7533368236802676, 0.29839631240666536, 1.1098340748923061], [2, 'PG0', 2.394829314075864, 0.44710914604703483, 0.09711498568356365], [3, 'OG311', -0.8702293776713194, 0.2965397768593292, 2.9274505715407413], [5, 'OG2P1', -1.0602737676198974, 0.2914728595931563, 1.4269193729104113], [9, 'HGP1', 0.4740196184447392, -0.06423824604943985, 0.017509598353243467]], dtype=object)]}, 'mol2': {'NonbondedForce': [array([[1, 'OG303', -0.7533368236802676, 0.29839631240666536, 1.1098340748923061], [2, 'PG0', 2.394829314075864, 0.44710914604703483, 0.09711498568356365], [3, 'OG311', -0.8702293776713194, 0.2965397768593292, 2.9274505715407413], [5, 'OG2P1', -1.0602737676198974, 0.2914728595931563, 1.4269193729104113], [9, 'HGP1', 0.4740196184447392, -0.06423824604943985, 0.017509598353243467]], dtype=object)]}}</t>
  </si>
  <si>
    <t xml:space="preserve">optimized parameters: [ 9.32808898e-01 -3.63055097e-02 4.54853168e-02 3.46287939e+00 -2.31924869e-03 2.61641027e-01 1.14809254e+00 -2.81351022e-02 1.59490247e+00 1.40159040e+00 -3.20680207e-02 2.14597605e-01 2.04187872e-02 2.91485964e-02 -4.45476870e-03] objective function value: 0.007021080505646779</t>
  </si>
  <si>
    <t xml:space="preserve">var const</t>
  </si>
  <si>
    <t xml:space="preserve">yes but fckd up sigma</t>
  </si>
  <si>
    <t xml:space="preserve">{'all': {'NonbondedForce': [array([[1, 'OG303', -0.5417426967933355, 0.36449312454924776, 0.10695502846911692], [2, 'PG0', 1.9959788648901733, 0.3623945060686462, 1.6721905087214868], [3, 'OG311', -0.8112364402874812, 0.2894188226613391, 1.738400844107298], [5, 'OG2P1', -0.9160714887939135, 0.39164066207497517, 0.027115195126343635], [9, 'HGP1', 0.4748342127416124, -0.019386412188716617, 0.08214478529834698]], dtype=object)]}, 'mol1': {'NonbondedForce': [array([[1, 'OG303', -0.5417426967933355, 0.36449312454924776, 0.10695502846911692], [2, 'PG0', 1.9959788648901733, 0.3623945060686462, 1.6721905087214868], [3, 'OG311', -0.8112364402874812, 0.2894188226613391, 1.738400844107298], [5, 'OG2P1', -0.9160714887939135, 0.39164066207497517, 0.027115195126343635], [9, 'HGP1', 0.4748342127416124, -0.019386412188716617, 0.08214478529834698]], dtype=object)]}, 'mol2': {'NonbondedForce': [array([[1, 'OG303', -0.5417426967933355, 0.36449312454924776, 0.10695502846911692], [2, 'PG0', 1.9959788648901733, 0.3623945060686462, 1.6721905087214868], [3, 'OG311', -0.8112364402874812, 0.2894188226613391, 1.738400844107298], [5, 'OG2P1', -0.9160714887939135, 0.39164066207497517, 0.027115195126343635], [9, 'HGP1', 0.4748342127416124, -0.019386412188716617, 0.08214478529834698]], dtype=object)]}}</t>
  </si>
  <si>
    <t xml:space="preserve">optimized parameters: [ 6.70805398e-01 -4.43474269e-02 4.38343305e-03 2.88614893e+00 -1.87981613e-03 4.50510946e+00 1.07026323e+00 -2.74594803e-02 9.47097054e-01 1.21096743e+00 -4.30885430e-02 4.07791504e-03 2.04538765e-02 8.79673314e-03 -2.08991668e-02] objective function value: 0.013130685370068413</t>
  </si>
  <si>
    <t xml:space="preserve">var per conf</t>
  </si>
  <si>
    <t xml:space="preserve">{'all': {'NonbondedForce': [array([[1, 'OG303', -0.5282007687518212, 0.31564389107349106, 1.1214283394430193], [2, 'PG0', 1.9303529503459254, 0.06525212964660486, 0.21116863535810654], [3, 'OG311', -0.805175800716834, 0.29050981949433474, 1.6487443007787446], [5, 'OG2P1', -0.8953896343974284, 0.31025652919161306, 0.8522251756656184], [9, 'HGP1', 0.4787119514459417, 0.01975825793806816, 4.3361516880194106e-10]], dtype=object)]}, 'mol1': {'NonbondedForce': [array([[1, 'OG303', -0.5282007687518212, 0.31564389107349106, 1.1214283394430193], [2, 'PG0', 1.9303529503459254, 0.06525212964660486, 0.21116863535810654], [3, 'OG311', -0.805175800716834, 0.29050981949433474, 1.6487443007787446], [5, 'OG2P1', -0.8953896343974284, 0.31025652919161306, 0.8522251756656184], [9, 'HGP1', 0.4787119514459417, 0.01975825793806816, 4.3361516880194106e-10]], dtype=object)]}, 'mol2': {'NonbondedForce': [array([[1, 'OG303', -0.5282007687518212, 0.31564389107349106, 1.1214283394430193], [2, 'PG0', 1.9303529503459254, 0.06525212964660486, 0.21116863535810654], [3, 'OG311', -0.805175800716834, 0.29050981949433474, 1.6487443007787446], [5, 'OG2P1', -0.8953896343974284, 0.31025652919161306, 0.8522251756656184], [9, 'HGP1', 0.4787119514459417, 0.01975825793806816, 4.3361516880194106e-10]], dtype=object)]}}</t>
  </si>
  <si>
    <t xml:space="preserve">final_simplex: (array([[ 6.54037293e-01, -3.84040012e-02, 4.59604950e-02, 2.79125506e+00, -3.38476450e-04, 5.68917130e-01, 1.06226743e+00, -2.75629919e-02, 8.98251329e-01, 1.18362781e+00, -3.41346114e-02, 1.28168056e-01, 2.06209133e-02, -8.96546102e-03, -1.10318855e-10], [ 6.54037293e-01, -3.84040012e-02, 4.59604949e-02, 2.79125506e+00, -3.38476450e-04, 5.68917129e-01, 1.06226743e+00, -2.75629919e-02, 8.98251329e-01, 1.18362781e+00, -3.41346114e-02, 1.28168056e-01, 2.06209133e-02, -8.96546101e-03, -1.10323280e-10], [ 6.54037293e-01, -3.84040012e-02, 4.59604949e-02, 2.79125506e+00, -3.38476451e-04, 5.68917129e-01, 1.06226743e+00, -2.75629919e-02, 8.98251329e-01, 1.18362781e+00, -3.41346114e-02, 1.28168056e-01, 2.06209133e-02, -8.96546101e-03, -1.10318653e-10], [ 6.54037293e-01, -3.84040012e-02, 4.59604951e-02, 2.79125506e+00, -3.38476453e-04, 5.68917133e-01, 1.06226743e+00, -2.75629919e-02, 8.98251328e-01, 1.18362781e+00, -3.41346114e-02, 1.28168056e-01, 2.06209133e-02, -8.96546103e-03, -1.10317873e-10], [ 6.54037293e-01, -3.84040012e-02, 4.59604951e-02, 2.79125506e+00, -3.38476454e-04, 5.68917133e-01, 1.06226743e+00, -2.75629919e-02, 8.98251328e-01, 1.18362781e+00, -3.41346114e-02, 1.28168056e-01, 2.06209133e-02, -8.96546104e-03, -1.10317716e-10], [ 6.54037293e-01, -3.84040012e-02, 4.59604951e-02, 2.79125506e+00, -3.38476453e-04, 5.68917135e-01, 1.06226743e+00, -2.75629919e-02, 8.98251328e-01, 1.18362781e+00, -3.41346114e-02, 1.28168056e-01, 2.06209133e-02, -8.96546106e-03, -1.10322402e-10], [ 6.54037293e-01, -3.84040012e-02, 4.59604949e-02, 2.79125506e+00, -3.38476451e-04, 5.68917130e-01, 1.06226743e+00, -2.75629919e-02, 8.98251329e-01, 1.18362781e+00, -3.41346114e-02, 1.28168056e-01, 2.06209133e-02, -8.96546101e-03, -1.10320001e-10], [ 6.54037293e-01, -3.84040012e-02, 4.59604949e-02, 2.79125506e+00, -3.38476449e-04, 5.68917128e-01, 1.06226743e+00, -2.75629919e-02, 8.98251329e-01, 1.18362781e+00, -3.41346114e-02, 1.28168056e-01, 2.06209133e-02, -8.96546102e-03, -1.10321126e-10], [ 6.54037293e-01, -3.84040012e-02, 4.59604951e-02, 2.79125506e+00, -3.38476455e-04, 5.68917137e-01, 1.06226743e+00, -2.75629919e-02, 8.98251328e-01, 1.18362781e+00, -3.41346114e-02, 1.28168056e-01, 2.06209133e-02, -8.96546105e-03, -1.10319159e-10], [ 6.54037293e-01, -3.84040012e-02, 4.59604951e-02, 2.79125506e+00, -3.38476452e-04, 5.68917131e-01, 1.06226743e+00, -2.75629919e-02, 8.98251329e-01, 1.18362781e+00, -3.41346114e-02, 1.28168056e-01, 2.06209133e-02, -8.96546103e-03, -1.10322313e-10], [ 6.54037292e-01, -3.84040012e-02, 4.59604952e-02, 2.79125506e+00, -3.38476456e-04, 5.68917137e-01, 1.06226743e+00, -2.75629919e-02, 8.98251328e-01, 1.18362781e+00, -3.41346114e-02, 1.28168056e-01, 2.06209133e-02, -8.96546107e-03, -1.10324168e-10], [ 6.54037293e-01, -3.84040012e-02, 4.59604949e-02, 2.79125506e+00, -3.38476450e-04, 5.68917125e-01, 1.06226743e+00, -2.75629919e-02, 8.98251330e-01, 1.18362781e+00, -3.41346114e-02, 1.28168056e-01, 2.06209133e-02, -8.96546100e-03, -1.10319794e-10], [ 6.54037293e-01, -3.84040012e-02, 4.59604951e-02, 2.79125506e+00, -3.38476453e-04, 5.68917130e-01, 1.06226743e+00, -2.75629919e-02, 8.98251329e-01, 1.18362781e+00, -3.41346114e-02, 1.28168056e-01, 2.06209133e-02, -8.96546104e-03, -1.10321751e-10], [ 6.54037293e-01, -3.84040012e-02, 4.59604951e-02, 2.79125506e+00, -3.38476453e-04, 5.68917135e-01, 1.06226743e+00, -2.75629919e-02, 8.98251328e-01, 1.18362781e+00, -3.41346114e-02, 1.28168056e-01, 2.06209133e-02, -8.96546105e-03, -1.10321738e-10], [ 6.54037293e-01, -3.84040012e-02, 4.59604952e-02, 2.79125506e+00, -3.38476456e-04, 5.68917139e-01, 1.06226743e+00, -2.75629919e-02, 8.98251328e-01, 1.18362781e+00, -3.41346114e-02, 1.28168056e-01, 2.06209133e-02, -8.96546106e-03, -1.10317315e-10], [ 6.54037293e-01, -3.84040012e-02, 4.59604951e-02, 2.79125506e+00, -3.38476453e-04, 5.68917133e-01, 1.06226743e+00, -2.75629919e-02, 8.98251328e-01, 1.18362781e+00, -3.41346114e-02, 1.28168056e-01, 2.06209133e-02, -8.96546103e-03, -1.10318789e-10]]), array([0.01308566, 0.01308566, 0.01308566, 0.01308566, 0.01308566, 0.01308566, 0.01308566, 0.01308566, 0.01308566, 0.01308566, 0.01308566, 0.01308566, 0.01308566, 0.01308566, 0.01308566, 0.01308566])) fun: 0.013085658786753877 message: 'Optimization terminated successfully.' nfev: 2440 nit: 1567 status: 0 success: True x: array([ 6.54037293e-01, -3.84040012e-02, 4.59604950e-02, 2.79125506e+00, -3.38476450e-04, 5.68917130e-01, 1.06226743e+00, -2.75629919e-02, 8.98251329e-01, 1.18362781e+00, -3.41346114e-02, 1.28168056e-01, 2.06209133e-02, -8.96546102e-03, -1.10318855e-10])</t>
  </si>
  <si>
    <t xml:space="preserve">bounds_scaled = [[ 2.47647233, -0.        ],        [-0.        , -0.60834381],        [ 0.        ,  0.20491945],        [ 0.        ,  8.67589026],        [-0.        , -0.02593605],        [ 0.        , 13.47068242],        [ 2.63859752, -0.        ],        [-0.        , -0.47439002],        [ 0.        ,  2.72404681],        [ 2.64382736, -0.        ],        [-0.        , -0.55010303],        [ 0.        ,  0.75196122],        [ 0.        ,  0.04307583],        [-0.        , -2.26878833],        [-0.        , -1.27209334]]</t>
  </si>
  <si>
    <t xml:space="preserve">looks good</t>
  </si>
  <si>
    <t xml:space="preserve">{'all': {'NonbondedForce': [array([[1, 'OG303', -0.542788018994076, 0.3408141480670257, 0.2663119527847004], [2, 'PG0', 1.9882911261152434, 0.4843656495713941, 0.010108999811296811], [3, 'OG311', -0.8152135234652691, 0.29184273016088214, 1.449740193366548], [5, 'OG2P1', -0.9124712120350174, 0.3344544631407105, 0.24158049175466184], [9, 'HGP1', 0.4733646302251923, 0.002791276498761558, 0.20652910836595523]], dtype=object)]}, 'mol1': {'NonbondedForce': [array([[1, 'OG303', -0.542788018994076, 0.3408141480670257, 0.2663119527847004], [2, 'PG0', 1.9882911261152434, 0.4843656495713941, 0.010108999811296811], [3, 'OG311', -0.8152135234652691, 0.29184273016088214, 1.449740193366548], [5, 'OG2P1', -0.9124712120350174, 0.3344544631407105, 0.24158049175466184], [9, 'HGP1', 0.4733646302251923, 0.002791276498761558, 0.20652910836595523]], dtype=object)]}, 'mol2': {'NonbondedForce': [array([[1, 'OG303', -0.542788018994076, 0.3408141480670257, 0.2663119527847004], [2, 'PG0', 1.9882911261152434, 0.4843656495713941, 0.010108999811296811], [3, 'OG311', -0.8152135234652691, 0.29184273016088214, 1.449740193366548], [5, 'OG2P1', -0.9124712120350174, 0.3344544631407105, 0.24158049175466184], [9, 'HGP1', 0.4733646302251923, 0.002791276498761558, 0.20652910836595523]], dtype=object)]}}</t>
  </si>
  <si>
    <t xml:space="preserve">final_simplex: (array([[ 6.72099933e-01, -4.14664267e-02, 1.09145457e-02, 2.87503377e+00, -2.51249170e-03, 2.72384982e-02, 1.07550948e+00, -2.76894642e-02, 7.89828798e-01, 1.20620897e+00, -3.67968512e-02, 3.63320650e-02, 2.03905469e-02, -1.26651592e-03, -5.25452508e-02], [ 6.72099929e-01, -4.14664564e-02, 1.09144118e-02, 2.87503261e+00, -2.51247995e-03, 2.72406368e-02, 1.07550948e+00, -2.76894609e-02, 7.89833843e-01, 1.20620846e+00, -3.67968498e-02, 3.63322643e-02, 2.03905567e-02, -1.26647633e-03, -5.25451786e-02], [ 6.72100147e-01, -4.14664340e-02, 1.09144945e-02, 2.87503312e+00, -2.51249208e-03, 2.72380221e-02, 1.07550983e+00, -2.76894639e-02, 7.89831204e-01, 1.20620850e+00, -3.67968609e-02, 3.63320719e-02, 2.03905615e-02, -1.26651391e-03, -5.25451194e-02], [ 6.72100123e-01, -4.14664390e-02, 1.09144618e-02, 2.87503275e+00, -2.51248950e-03, 2.72387155e-02, 1.07550954e+00, -2.76894649e-02, 7.89832355e-01, 1.20620843e+00, -3.67968545e-02, 3.63321347e-02, 2.03905613e-02, -1.26650631e-03, -5.25450839e-02], [ 6.72100366e-01, -4.14664330e-02, 1.09144849e-02, 2.87503547e+00, -2.51249622e-03, 2.72380551e-02, 1.07550992e+00, -2.76894590e-02, 7.89830281e-01, 1.20620915e+00, -3.67968578e-02, 3.63320922e-02, 2.03905425e-02, -1.26651814e-03, -5.25450803e-02], [ 6.72100098e-01, -4.14664588e-02, 1.09143763e-02, 2.87503275e+00, -2.51249891e-03, 2.72363268e-02, 1.07550962e+00, -2.76894493e-02, 7.89835586e-01, 1.20620852e+00, -3.67968651e-02, 3.63320972e-02, 2.03905665e-02, -1.26653070e-03, -5.25447301e-02], [ 6.72099908e-01, -4.14664433e-02, 1.09144798e-02, 2.87503192e+00, -2.51249064e-03, 2.72381490e-02, 1.07550970e+00, -2.76894628e-02, 7.89832361e-01, 1.20620820e+00, -3.67968598e-02, 3.63320686e-02, 2.03905707e-02, -1.26651569e-03, -5.25450864e-02], [ 6.72100116e-01, -4.14664438e-02, 1.09144311e-02, 2.87503197e+00, -2.51247760e-03, 2.72407950e-02, 1.07550896e+00, -2.76894654e-02, 7.89833217e-01, 1.20620842e+00, -3.67968377e-02, 3.63323029e-02, 2.03905547e-02, -1.26646717e-03, -5.25452346e-02], [ 6.72099913e-01, -4.14664244e-02, 1.09145475e-02, 2.87503310e+00, -2.51248767e-03, 2.72393458e-02, 1.07550959e+00, -2.76894687e-02, 7.89829115e-01, 1.20620864e+00, -3.67968520e-02, 3.63320801e-02, 2.03905540e-02, -1.26650494e-03, -5.25453146e-02], [ 6.72100339e-01, -4.14664633e-02, 1.09143557e-02, 2.87503530e+00, -2.51249076e-03, 2.72382840e-02, 1.07550961e+00, -2.76894594e-02, 7.89834307e-01, 1.20620943e+00, -3.67968584e-02, 3.63323153e-02, 2.03905427e-02, -1.26650091e-03, -5.25448950e-02], [ 6.72099754e-01, -4.14664352e-02, 1.09144996e-02, 2.87503260e+00, -2.51250597e-03, 2.72350252e-02, 1.07551019e+00, -2.76894558e-02, 7.89832029e-01, 1.20620818e+00, -3.67968827e-02, 3.63318322e-02, 2.03905730e-02, -1.26656311e-03, -5.25448606e-02], [ 6.72100302e-01, -4.14663935e-02, 1.09146512e-02, 2.87503520e+00, -2.51248861e-03, 2.72397780e-02, 1.07550991e+00, -2.76894784e-02, 7.89824548e-01, 1.20620900e+00, -3.67968475e-02, 3.63320248e-02, 2.03905392e-02, -1.26650248e-03, -5.25455600e-02], [ 6.72100285e-01, -4.14664021e-02, 1.09146273e-02, 2.87503421e+00, -2.51249436e-03, 2.72383322e-02, 1.07550978e+00, -2.76894815e-02, 7.89826168e-01, 1.20620856e+00, -3.67968513e-02, 3.63319638e-02, 2.03905524e-02, -1.26652786e-03, -5.25453590e-02], [ 6.72100100e-01, -4.14664113e-02, 1.09145903e-02, 2.87503479e+00, -2.51248645e-03, 2.72391159e-02, 1.07550988e+00, -2.76894911e-02, 7.89826838e-01, 1.20620875e+00, -3.67968575e-02, 3.63320873e-02, 2.03905456e-02, -1.26650689e-03, -5.25454475e-02], [ 6.72099332e-01, -4.14664313e-02, 1.09145714e-02, 2.87503124e+00, -2.51248547e-03, 2.72384932e-02, 1.07550930e+00, -2.76894800e-02, 7.89829365e-01, 1.20620811e+00, -3.67968525e-02, 3.63320212e-02, 2.03905670e-02, -1.26651890e-03, -5.25453493e-02], [ 6.72100272e-01, -4.14664490e-02, 1.09144284e-02, 2.87503204e+00, -2.51249591e-03, 2.72375481e-02, 1.07550962e+00, -2.76894513e-02, 7.89833985e-01, 1.20620850e+00, -3.67968577e-02, 3.63321160e-02, 2.03905737e-02, -1.26652072e-03, -5.25448700e-02]]), array([0.01310538, 0.01310538, 0.01310538, 0.01310538, 0.01310538, 0.01310538, 0.01310538, 0.01310538, 0.01310538, 0.01310538, 0.01310538, 0.01310538, 0.01310538, 0.01310538, 0.01310538, 0.01310538])) fun: 0.013105376888891022 message: 'Optimization terminated successfully.' nfev: 3198 nit: 2309 status: 0 success: True x: array([ 6.72099933e-01, -4.14664267e-02, 1.09145457e-02, 2.87503377e+00, -2.51249170e-03, 2.72384982e-02, 1.07550948e+00, -2.76894642e-02, 7.89828798e-01, 1.20620897e+00, -3.67968512e-02, 3.63320650e-02, 2.03905469e-02, -1.26651592e-03, -5.25452508e-02])</t>
  </si>
  <si>
    <t xml:space="preserve">within bounds yay</t>
  </si>
  <si>
    <t xml:space="preserve">{'all': {'NonbondedForce': [array([[1, 'OG303', -0.7559059714580008, 0.3151088612004773, 0.4910623330442169], [2, 'PG0', 2.419691650287757, 0.6395272809804737, 0.0002939131885274766], [3, 'OG311', -0.8695009501407233, 0.3037619438176949, 2.1123471721963867], [5, 'OG2P1', -1.076464275386166, 0.26821054890014717, 4.078576938209706], [9, 'HGP1', 0.46709010293882997, -0.1308479584839174, 0.39408957491166635]], dtype=object)]}, 'mol1': {'NonbondedForce': [array([[1, 'OG303', -0.7559059714580008, 0.3151088612004773, 0.4910623330442169], [2, 'PG0', 2.419691650287757, 0.6395272809804737, 0.0002939131885274766], [3, 'OG311', -0.8695009501407233, 0.3037619438176949, 2.1123471721963867], [5, 'OG2P1', -1.076464275386166, 0.26821054890014717, 4.078576938209706], [9, 'HGP1', 0.46709010293882997, -0.1308479584839174, 0.39408957491166635]], dtype=object)]}, 'mol2': {'NonbondedForce': [array([[1, 'OG303', -0.7559059714580008, 0.3151088612004773, 0.4910623330442169], [2, 'PG0', 2.419691650287757, 0.6395272809804737, 0.0002939131885274766], [3, 'OG311', -0.8695009501407233, 0.3037619438176949, 2.1123471721963867], [5, 'OG2P1', -1.076464275386166, 0.26821054890014717, 4.078576938209706], [9, 'HGP1', 0.46709010293882997, -0.1308479584839174, 0.39408957491166635]], dtype=object)]}}</t>
  </si>
  <si>
    <t xml:space="preserve">final_simplex: (array([[ 9.35990109e-01, -3.83389048e-02, 2.01256443e-02, 3.49882987e+00, -3.31736182e-03, 7.91842235e-04, 1.14713152e+00, -2.88203270e-02, 1.15082652e+00, 1.42299285e+00, -2.95086871e-02, 6.13386338e-01, 2.01202926e-02, 5.93732643e-02, -1.00263745e-01], [ 9.35990110e-01, -3.83389048e-02, 2.01256443e-02, 3.49882987e+00, -3.31736179e-03, 7.91842361e-04, 1.14713152e+00, -2.88203270e-02, 1.15082651e+00, 1.42299285e+00, -2.95086872e-02, 6.13386330e-01, 2.01202926e-02, 5.93732634e-02, -1.00263744e-01], [ 9.35990109e-01, -3.83389048e-02, 2.01256443e-02, 3.49882987e+00, -3.31736182e-03, 7.91842244e-04, 1.14713152e+00, -2.88203270e-02, 1.15082651e+00, 1.42299285e+00, -2.95086871e-02, 6.13386337e-01, 2.01202926e-02, 5.93732642e-02, -1.00263745e-01], [ 9.35990109e-01, -3.83389048e-02, 2.01256443e-02, 3.49882987e+00, -3.31736179e-03, 7.91842347e-04, 1.14713152e+00, -2.88203270e-02, 1.15082651e+00, 1.42299285e+00, -2.95086872e-02, 6.13386330e-01, 2.01202926e-02, 5.93732634e-02, -1.00263744e-01], [ 9.35990108e-01, -3.83389048e-02, 2.01256443e-02, 3.49882987e+00, -3.31736180e-03, 7.91842309e-04, 1.14713152e+00, -2.88203270e-02, 1.15082651e+00, 1.42299285e+00, -2.95086871e-02, 6.13386333e-01, 2.01202926e-02, 5.93732637e-02, -1.00263744e-01], [ 9.35990108e-01, -3.83389048e-02, 2.01256443e-02, 3.49882987e+00, -3.31736182e-03, 7.91842222e-04, 1.14713152e+00, -2.88203270e-02, 1.15082652e+00, 1.42299285e+00, -2.95086871e-02, 6.13386338e-01, 2.01202926e-02, 5.93732643e-02, -1.00263745e-01], [ 9.35990109e-01, -3.83389048e-02, 2.01256443e-02, 3.49882987e+00, -3.31736180e-03, 7.91842334e-04, 1.14713152e+00, -2.88203270e-02, 1.15082651e+00, 1.42299285e+00, -2.95086872e-02, 6.13386332e-01, 2.01202926e-02, 5.93732636e-02, -1.00263744e-01], [ 9.35990107e-01, -3.83389048e-02, 2.01256443e-02, 3.49882986e+00, -3.31736179e-03, 7.91842345e-04, 1.14713152e+00, -2.88203270e-02, 1.15082651e+00, 1.42299285e+00, -2.95086872e-02, 6.13386330e-01, 2.01202926e-02, 5.93732633e-02, -1.00263744e-01], [ 9.35990109e-01, -3.83389048e-02, 2.01256443e-02, 3.49882987e+00, -3.31736182e-03, 7.91842217e-04, 1.14713152e+00, -2.88203270e-02, 1.15082652e+00, 1.42299285e+00, -2.95086871e-02, 6.13386338e-01, 2.01202926e-02, 5.93732643e-02, -1.00263745e-01], [ 9.35990109e-01, -3.83389048e-02, 2.01256443e-02, 3.49882987e+00, -3.31736180e-03, 7.91842302e-04, 1.14713152e+00, -2.88203270e-02, 1.15082651e+00, 1.42299285e+00, -2.95086872e-02, 6.13386331e-01, 2.01202926e-02, 5.93732635e-02, -1.00263744e-01], [ 9.35990109e-01, -3.83389048e-02, 2.01256443e-02, 3.49882987e+00, -3.31736182e-03, 7.91842208e-04, 1.14713152e+00, -2.88203270e-02, 1.15082652e+00, 1.42299285e+00, -2.95086871e-02, 6.13386338e-01, 2.01202926e-02, 5.93732643e-02, -1.00263745e-01], [ 9.35990109e-01, -3.83389048e-02, 2.01256443e-02, 3.49882987e+00, -3.31736181e-03, 7.91842240e-04, 1.14713152e+00, -2.88203270e-02, 1.15082651e+00, 1.42299285e+00, -2.95086871e-02, 6.13386335e-01, 2.01202926e-02, 5.93732640e-02, -1.00263744e-01], [ 9.35990109e-01, -3.83389048e-02, 2.01256443e-02, 3.49882987e+00, -3.31736184e-03, 7.91842151e-04, 1.14713152e+00, -2.88203270e-02, 1.15082652e+00, 1.42299285e+00, -2.95086871e-02, 6.13386344e-01, 2.01202926e-02, 5.93732650e-02, -1.00263745e-01], [ 9.35990110e-01, -3.83389048e-02, 2.01256443e-02, 3.49882987e+00, -3.31736180e-03, 7.91842292e-04, 1.14713152e+00, -2.88203270e-02, 1.15082651e+00, 1.42299285e+00, -2.95086871e-02, 6.13386333e-01, 2.01202926e-02, 5.93732637e-02, -1.00263744e-01], [ 9.35990108e-01, -3.83389048e-02, 2.01256443e-02, 3.49882987e+00, -3.31736181e-03, 7.91842238e-04, 1.14713152e+00, -2.88203270e-02, 1.15082651e+00, 1.42299285e+00, -2.95086871e-02, 6.13386336e-01, 2.01202926e-02, 5.93732640e-02, -1.00263744e-01], [ 9.35990109e-01, -3.83389048e-02, 2.01256443e-02, 3.49882987e+00, -3.31736180e-03, 7.91842301e-04, 1.14713152e+00, -2.88203270e-02, 1.15082651e+00, 1.42299285e+00, -2.95086871e-02, 6.13386333e-01, 2.01202926e-02, 5.93732638e-02, -1.00263744e-01]]), array([0.00704004, 0.00704004, 0.00704004, 0.00704004, 0.00704004, 0.00704004, 0.00704004, 0.00704004, 0.00704004, 0.00704004, 0.00704004, 0.00704004, 0.00704004, 0.00704004, 0.00704004, 0.00704004])) fun: 0.007040038943587916 message: 'Optimization terminated successfully.' nfev: 6221 nit: 4522 status: 0 success: True x: array([ 9.35990109e-01, -3.83389048e-02, 2.01256443e-02, 3.49882987e+00, -3.31736182e-03, 7.91842235e-04, 1.14713152e+00, -2.88203270e-02, 1.15082652e+00, 1.42299285e+00, -2.95086871e-02, 6.13386338e-01, 2.01202926e-02, 5.93732643e-02, -1.00263745e-01])</t>
  </si>
  <si>
    <t xml:space="preserve">ignores bounds :(</t>
  </si>
  <si>
    <t xml:space="preserve">{'all': {'NonbondedForce': [array([[1, 'OG303', -0.6940856365922436, 0.3437571303180245, 0.17629130849138946], [2, 'PG0', 2.2544594087363476, 0.35910285593910135, 1.187391597873336], [3, 'OG311', -0.9331535370056205, 0.2941562945526234, 3.0724816645648283], [5, 'OG2P1', -0.9728508004769946, 0.3775341553713585, 0.04498157457841567], [9, 'HGP1', 0.5505010462174618, 0.0002332488147203039, 1.671822040772995e-05]], dtype=object)]}, 'mol1': {'NonbondedForce': [array([[1, 'OG303', -0.6940856365922436, 0.3437571303180245, 0.17629130849138946], [2, 'PG0', 2.2544594087363476, 0.35910285593910135, 1.187391597873336], [3, 'OG311', -0.9331535370056205, 0.2941562945526234, 3.0724816645648283], [5, 'OG2P1', -0.9728508004769946, 0.3775341553713585, 0.04498157457841567], [9, 'HGP1', 0.5505010462174618, 0.0002332488147203039, 1.671822040772995e-05]], dtype=object)]}, 'mol2': {'NonbondedForce': [array([[1, 'OG303', -0.6940856365922436, 0.3437571303180245, 0.17629130849138946], [2, 'PG0', 2.2544594087363476, 0.35910285593910135, 1.187391597873336], [3, 'OG311', -0.9331535370056205, 0.2941562945526234, 3.0724816645648283], [5, 'OG2P1', -0.9728508004769946, 0.3775341553713585, 0.04498157457841567], [9, 'HGP1', 0.5505010462174618, 0.0002332488147203039, 1.671822040772995e-05]], dtype=object)]}}</t>
  </si>
  <si>
    <t xml:space="preserve">final_simplex: (array([[ 9.24546195e-01, -3.93153578e-02, 1.79180872e-02, 3.47104453e+00, -1.88634218e-03, 7.42014950e+00, 1.14341343e+00, -3.07751410e-02, 4.18538846e-01, 1.39399136e+00, -3.29934639e-02, 1.71534011e-01, 2.05934622e-02, 1.68659735e-02, -6.76632525e-02], [ 9.24546209e-01, -3.93153579e-02, 1.79180870e-02, 3.47104454e+00, -1.88634217e-03, 7.42014922e+00, 1.14341342e+00, -3.07751408e-02, 4.18538850e-01, 1.39399137e+00, -3.29934640e-02, 1.71534010e-01, 2.05934622e-02, 1.68659734e-02, -6.76632555e-02], [ 9.24546218e-01, -3.93153581e-02, 1.79180875e-02, 3.47104457e+00, -1.88634217e-03, 7.42014984e+00, 1.14341342e+00, -3.07751407e-02, 4.18538852e-01, 1.39399138e+00, -3.29934637e-02, 1.71534039e-01, 2.05934620e-02, 1.68659773e-02, -6.76632600e-02], [ 9.24546221e-01, -3.93153582e-02, 1.79180874e-02, 3.47104458e+00, -1.88634215e-03, 7.42014943e+00, 1.14341343e+00, -3.07751407e-02, 4.18538850e-01, 1.39399137e+00, -3.29934641e-02, 1.71534020e-01, 2.05934621e-02, 1.68659752e-02, -6.76632567e-02], [ 9.24546205e-01, -3.93153582e-02, 1.79180876e-02, 3.47104453e+00, -1.88634216e-03, 7.42014982e+00, 1.14341342e+00, -3.07751407e-02, 4.18538852e-01, 1.39399137e+00, -3.29934639e-02, 1.71534031e-01, 2.05934622e-02, 1.68659758e-02, -6.76632579e-02], [ 9.24546199e-01, -3.93153581e-02, 1.79180872e-02, 3.47104454e+00, -1.88634216e-03, 7.42014964e+00, 1.14341342e+00, -3.07751408e-02, 4.18538850e-01, 1.39399138e+00, -3.29934639e-02, 1.71534024e-01, 2.05934620e-02, 1.68659750e-02, -6.76632566e-02], [ 9.24546194e-01, -3.93153580e-02, 1.79180871e-02, 3.47104453e+00, -1.88634216e-03, 7.42014939e+00, 1.14341343e+00, -3.07751410e-02, 4.18538845e-01, 1.39399136e+00, -3.29934640e-02, 1.71534007e-01, 2.05934623e-02, 1.68659731e-02, -6.76632522e-02], [ 9.24546202e-01, -3.93153578e-02, 1.79180872e-02, 3.47104455e+00, -1.88634217e-03, 7.42014967e+00, 1.14341343e+00, -3.07751410e-02, 4.18538848e-01, 1.39399137e+00, -3.29934637e-02, 1.71534026e-01, 2.05934621e-02, 1.68659755e-02, -6.76632562e-02], [ 9.24546209e-01, -3.93153580e-02, 1.79180881e-02, 3.47104458e+00, -1.88634216e-03, 7.42015044e+00, 1.14341344e+00, -3.07751408e-02, 4.18538851e-01, 1.39399137e+00, -3.29934632e-02, 1.71534062e-01, 2.05934622e-02, 1.68659802e-02, -6.76632620e-02], [ 9.24546213e-01, -3.93153581e-02, 1.79180874e-02, 3.47104458e+00, -1.88634218e-03, 7.42014980e+00, 1.14341343e+00, -3.07751408e-02, 4.18538848e-01, 1.39399137e+00, -3.29934637e-02, 1.71534035e-01, 2.05934620e-02, 1.68659771e-02, -6.76632579e-02], [ 9.24546197e-01, -3.93153582e-02, 1.79180872e-02, 3.47104452e+00, -1.88634214e-03, 7.42014923e+00, 1.14341343e+00, -3.07751408e-02, 4.18538846e-01, 1.39399136e+00, -3.29934643e-02, 1.71534002e-01, 2.05934624e-02, 1.68659723e-02, -6.76632529e-02], [ 9.24546209e-01, -3.93153580e-02, 1.79180878e-02, 3.47104454e+00, -1.88634216e-03, 7.42014998e+00, 1.14341342e+00, -3.07751408e-02, 4.18538852e-01, 1.39399136e+00, -3.29934637e-02, 1.71534036e-01, 2.05934622e-02, 1.68659766e-02, -6.76632582e-02], [ 9.24546208e-01, -3.93153580e-02, 1.79180872e-02, 3.47104455e+00, -1.88634217e-03, 7.42014941e+00, 1.14341343e+00, -3.07751409e-02, 4.18538847e-01, 1.39399136e+00, -3.29934640e-02, 1.71534012e-01, 2.05934623e-02, 1.68659740e-02, -6.76632542e-02], [ 9.24546202e-01, -3.93153578e-02, 1.79180876e-02, 3.47104452e+00, -1.88634217e-03, 7.42014985e+00, 1.14341342e+00, -3.07751408e-02, 4.18538852e-01, 1.39399136e+00, -3.29934638e-02, 1.71534027e-01, 2.05934622e-02, 1.68659753e-02, -6.76632564e-02], [ 9.24546207e-01, -3.93153582e-02, 1.79180869e-02, 3.47104459e+00, -1.88634219e-03, 7.42014965e+00, 1.14341343e+00, -3.07751410e-02, 4.18538844e-01, 1.39399138e+00, -3.29934637e-02, 1.71534029e-01, 2.05934620e-02, 1.68659766e-02, -6.76632567e-02], [ 9.24546214e-01, -3.93153581e-02, 1.79180875e-02, 3.47104456e+00, -1.88634216e-03, 7.42014958e+00, 1.14341343e+00, -3.07751407e-02, 4.18538850e-01, 1.39399137e+00, -3.29934639e-02, 1.71534025e-01, 2.05934622e-02, 1.68659756e-02, -6.76632571e-02]]), array([0.00707329, 0.00707329, 0.00707329, 0.00707329, 0.00707329, 0.00707329, 0.00707329, 0.00707329, 0.00707329, 0.00707329, 0.00707329, 0.00707329, 0.00707329, 0.00707329, 0.00707329, 0.00707329])) fun: 0.00707329214815822 message: 'Optimization terminated successfully.' nfev: 2577 nit: 1783 status: 0 success: True x: array([ 9.24546195e-01, -3.93153578e-02, 1.79180872e-02, 3.47104453e+00, -1.88634218e-03, 7.42014950e+00, 1.14341343e+00, -3.07751410e-02, 4.18538846e-01, 1.39399136e+00, -3.29934639e-02, 1.71534011e-01, 2.05934622e-02, 1.68659735e-02, -6.76632525e-02])</t>
  </si>
  <si>
    <t xml:space="preserve">{'all': {'NonbondedForce': [array([[1, 'OG303', -0.7563587116333332, 0.30203020370290484, 1.0217475311648867], [2, 'PG0', 2.419235022973606, 0.3779523009275177, 1.1406884560792618], [3, 'OG311', -0.8850981221011546, 0.3070918346608091, 1.7938040629605787], [5, 'OG2P1', -1.0537662611336696, 0.3445298422088661, 0.1550944553586738], [9, 'HGP1', 0.4845527775508026, 0.0007152136625923095, 0.0012741935308956565]], dtype=object)]}, 'mol1': {'NonbondedForce': [array([[1, 'OG303', -0.7563587116333332, 0.30203020370290484, 1.0217475311648867], [2, 'PG0', 2.419235022973606, 0.3779523009275177, 1.1406884560792618], [3, 'OG311', -0.8850981221011546, 0.3070918346608091, 1.7938040629605787], [5, 'OG2P1', -1.0537662611336696, 0.3445298422088661, 0.1550944553586738], [9, 'HGP1', 0.4845527775508026, 0.0007152136625923095, 0.0012741935308956565]], dtype=object)]}, 'mol2': {'NonbondedForce': [array([[1, 'OG303', -0.7563587116333332, 0.30203020370290484, 1.0217475311648867], [2, 'PG0', 2.419235022973606, 0.3779523009275177, 1.1406884560792618], [3, 'OG311', -0.8850981221011546, 0.3070918346608091, 1.7938040629605787], [5, 'OG2P1', -1.0537662611336696, 0.3445298422088661, 0.1550944553586738], [9, 'HGP1', 0.4845527775508026, 0.0007152136625923095, 0.0012741935308956565]], dtype=object)]}}</t>
  </si>
  <si>
    <t xml:space="preserve">array([ 9.36550720e-01, -3.67476401e-02, 4.18752017e-02, 3.49816959e+00, -1.96051780e-03, 3.07316588e+00, 1.16770886e+00, -2.91362591e-02, 9.77281561e-01, 1.39298803e+00, -3.79053816e-02, 2.33250101e-02, 2.08725116e-02, -3.24534095e-04, -3.24178705e-04])</t>
  </si>
  <si>
    <t xml:space="preserve">bounds_scaled = [[ 2.47647233, -0.        ],        [-0.        , -0.60834381],        [ 0.        ,  0.20491945],        [ 0.        ,  8.67589026],        [-0.        , -0.02593605],        [ 0.        , 13.47068242],        [ 2.63859752, -0.        ],        [-0.        , -0.47439002],        [ 0.        ,  2.72404681],        [ 2.64382736, -0.        ],        [-0.        , -0.55010303],        [ 0.        ,  0.75196122],        [ 0.        ,  0.04307583],        [-0.        , -2.26878833],        [-0.        , -1.27209334]] with extra constrain penalty term</t>
  </si>
  <si>
    <t xml:space="preserve">{'all': {'NonbondedForce': [array([[1, 'OG303', -0.7468983049627522, 0.4723816925774162, 0.001385710195339703], [2, 'PG0', 2.3849412908516308, 0.35885211970740727, 2.5679029623903022], [3, 'OG311', -0.8659995522365104, 0.2925450010892564, 3.6925435584732478], [5, 'OG2P1', -1.0505705199603612, 0.37658778300526724, 0.04181327615919038], [9, 'HGP1', 0.48733954893631576, 0.01919535843751596, 0.0]], dtype=object)]}, 'mol1': {'NonbondedForce': [array([[1, 'OG303', -0.7468983049627522, 0.4723816925774162, 0.001385710195339703], [2, 'PG0', 2.3849412908516308, 0.35885211970740727, 2.5679029623903022], [3, 'OG311', -0.8659995522365104, 0.2925450010892564, 3.6925435584732478], [5, 'OG2P1', -1.0505705199603612, 0.37658778300526724, 0.04181327615919038], [9, 'HGP1', 0.48733954893631576, 0.01919535843751596, 0.0]], dtype=object)]}, 'mol2': {'NonbondedForce': [array([[1, 'OG303', -0.7468983049627522, 0.4723816925774162, 0.001385710195339703], [2, 'PG0', 2.3849412908516308, 0.35885211970740727, 2.5679029623903022], [3, 'OG311', -0.8659995522365104, 0.2925450010892564, 3.6925435584732478], [5, 'OG2P1', -1.0505705199603612, 0.37658778300526724, 0.04181327615919038], [9, 'HGP1', 0.48733954893631576, 0.01919535843751596, 0.0]], dtype=object)]}}</t>
  </si>
  <si>
    <t xml:space="preserve">final_simplex: (array([[ 9.24836491e-01, -5.74740953e-02, 5.67917934e-05, 3.44858149e+00, -1.86144103e-03, 6.91828106e+00, 1.14251213e+00, -2.77560859e-02, 2.01173230e+00, 1.38876354e+00, -4.14324161e-02, 6.28839241e-03, 2.09925542e-02, -8.71004103e-03, -0.00000000e+00], [ 9.24836491e-01, -5.74740954e-02, 5.67917932e-05, 3.44858149e+00, -1.86144103e-03, 6.91828106e+00, 1.14251213e+00, -2.77560859e-02, 2.01173230e+00, 1.38876354e+00, -4.14324161e-02, 6.28839242e-03, 2.09925542e-02, -8.71004104e-03, -0.00000000e+00], [ 9.24836491e-01, -5.74740954e-02, 5.67917932e-05, 3.44858149e+00, -1.86144103e-03, 6.91828106e+00, 1.14251213e+00, -2.77560859e-02, 2.01173230e+00, 1.38876354e+00, -4.14324161e-02, 6.28839242e-03, 2.09925542e-02, -8.71004104e-03, -0.00000000e+00], [ 9.24836491e-01, -5.74740953e-02, 5.67917936e-05, 3.44858149e+00, -1.86144103e-03, 6.91828107e+00, 1.14251213e+00, -2.77560859e-02, 2.01173229e+00, 1.38876354e+00, -4.14324161e-02, 6.28839240e-03, 2.09925542e-02, -8.71004102e-03, -0.00000000e+00], [ 9.24836491e-01, -5.74740954e-02, 5.67917933e-05, 3.44858149e+00, -1.86144103e-03, 6.91828106e+00, 1.14251213e+00, -2.77560859e-02, 2.01173230e+00, 1.38876354e+00, -4.14324161e-02, 6.28839242e-03, 2.09925542e-02, -8.71004104e-03, -0.00000000e+00], [ 9.24836491e-01, -5.74740953e-02, 5.67917935e-05, 3.44858149e+00, -1.86144103e-03, 6.91828107e+00, 1.14251213e+00, -2.77560859e-02, 2.01173230e+00, 1.38876354e+00, -4.14324161e-02, 6.28839240e-03, 2.09925542e-02, -8.71004103e-03, -0.00000000e+00], [ 9.24836491e-01, -5.74740953e-02, 5.67917934e-05, 3.44858149e+00, -1.86144103e-03, 6.91828106e+00, 1.14251213e+00, -2.77560859e-02, 2.01173230e+00, 1.38876354e+00, -4.14324161e-02, 6.28839241e-03, 2.09925542e-02, -8.71004103e-03, -0.00000000e+00], [ 9.24836491e-01, -5.74740953e-02, 5.67917934e-05, 3.44858149e+00, -1.86144103e-03, 6.91828107e+00, 1.14251213e+00, -2.77560859e-02, 2.01173230e+00, 1.38876354e+00, -4.14324161e-02, 6.28839241e-03, 2.09925542e-02, -8.71004103e-03, -0.00000000e+00], [ 9.24836491e-01, -5.74740953e-02, 5.67917935e-05, 3.44858149e+00, -1.86144103e-03, 6.91828107e+00, 1.14251213e+00, -2.77560859e-02, 2.01173230e+00, 1.38876354e+00, -4.14324161e-02, 6.28839241e-03, 2.09925542e-02, -8.71004103e-03, -0.00000000e+00], [ 9.24836491e-01, -5.74740953e-02, 5.67917933e-05, 3.44858149e+00, -1.86144103e-03, 6.91828106e+00, 1.14251213e+00, -2.77560859e-02, 2.01173230e+00, 1.38876354e+00, -4.14324161e-02, 6.28839241e-03, 2.09925542e-02, -8.71004104e-03, -0.00000000e+00], [ 9.24836491e-01, -5.74740953e-02, 5.67917934e-05, 3.44858149e+00, -1.86144103e-03, 6.91828106e+00, 1.14251213e+00, -2.77560859e-02, 2.01173230e+00, 1.38876354e+00, -4.14324161e-02, 6.28839241e-03, 2.09925542e-02, -8.71004103e-03, -0.00000000e+00], [ 9.24836491e-01, -5.74740953e-02, 5.67917934e-05, 3.44858149e+00, -1.86144103e-03, 6.91828106e+00, 1.14251213e+00, -2.77560859e-02, 2.01173230e+00, 1.38876354e+00, -4.14324161e-02, 6.28839241e-03, 2.09925542e-02, -8.71004103e-03, -0.00000000e+00], [ 9.24836491e-01, -5.74740953e-02, 5.67917934e-05, 3.44858149e+00, -1.86144103e-03, 6.91828106e+00, 1.14251213e+00, -2.77560859e-02, 2.01173230e+00, 1.38876354e+00, -4.14324161e-02, 6.28839241e-03, 2.09925542e-02, -8.71004104e-03, -0.00000000e+00], [ 9.24836491e-01, -5.74740953e-02, 5.67917934e-05, 3.44858149e+00, -1.86144103e-03, 6.91828106e+00, 1.14251213e+00, -2.77560859e-02, 2.01173230e+00, 1.38876354e+00, -4.14324161e-02, 6.28839241e-03, 2.09925542e-02, -8.71004103e-03, -0.00000000e+00], [ 9.24836491e-01, -5.74740953e-02, 5.67917934e-05, 3.44858149e+00, -1.86144103e-03, 6.91828106e+00, 1.14251213e+00, -2.77560859e-02, 2.01173230e+00, 1.38876354e+00, -4.14324161e-02, 6.28839241e-03, 2.09925542e-02, -8.71004103e-03, -0.00000000e+00], [ 9.24836491e-01, -5.74740953e-02, 5.67917934e-05, 3.44858149e+00, -1.86144103e-03, 6.91828106e+00, 1.14251213e+00, -2.77560859e-02, 2.01173230e+00, 1.38876354e+00, -4.14324161e-02, 6.28839241e-03, 2.09925542e-02, -8.71004103e-03, -0.00000000e+00]]), array([0.00697612, 0.00697612, 0.00697612, 0.00697612, 0.00697612, 0.00697612, 0.00697612, 0.00697612, 0.00697612, 0.00697612, 0.00697612, 0.00697612, 0.00697612, 0.00697612, 0.00697612, 0.00697612])) fun: 0.006976122031737739 message: 'Optimization terminated successfully.' nfev: 7718 nit: 5676 status: 0 success: True x: array([ 9.24836491e-01, -5.74740953e-02, 5.67917934e-05, 3.44858149e+00, -1.86144103e-03, 6.91828106e+00, 1.14251213e+00, -2.77560859e-02, 2.01173230e+00, 1.38876354e+00, -4.14324161e-02, 6.28839241e-03, 2.09925542e-02, -8.71004103e-03, -0.00000000e+00])</t>
  </si>
  <si>
    <t xml:space="preserve">{'all': {'NonbondedForce': [array([[1, 'OG303', -0.541117859807753, 0.2986160619158037, 2.0449073974855376], [2, 'PG0', 1.9693133293337695, 0.43201043613002166, 0.10137344990865886], [3, 'OG311', -0.8055703775920526, 0.30494576471057483, 0.7759719508712795], [5, 'OG2P1', -0.9164283214092915, 0.29058261735936014, 1.8070625587410107], [9, 'HGP1', 0.4711677418933715, 0.03000258632643705, 0.1316079745751187]], dtype=object)]}, 'mol1': {'NonbondedForce': [array([[1, 'OG303', -0.541117859807753, 0.2986160619158037, 2.0449073974855376], [2, 'PG0', 1.9693133293337695, 0.43201043613002166, 0.10137344990865886], [3, 'OG311', -0.8055703775920526, 0.30494576471057483, 0.7759719508712795], [5, 'OG2P1', -0.9164283214092915, 0.29058261735936014, 1.8070625587410107], [9, 'HGP1', 0.4711677418933715, 0.03000258632643705, 0.1316079745751187]], dtype=object)]}, 'mol2': {'NonbondedForce': [array([[1, 'OG303', -0.541117859807753, 0.2986160619158037, 2.0449073974855376], [2, 'PG0', 1.9693133293337695, 0.43201043613002166, 0.10137344990865886], [3, 'OG311', -0.8055703775920526, 0.30494576471057483, 0.7759719508712795], [5, 'OG2P1', -0.9164283214092915, 0.29058261735936014, 1.8070625587410107], [9, 'HGP1', 0.4711677418933715, 0.03000258632643705, 0.1316079745751187]], dtype=object)]}}</t>
  </si>
  <si>
    <t xml:space="preserve">final_simplex: (array([[ 6.70031816e-01, -3.63322025e-02, 8.38101728e-02, 2.84759078e+00, -2.24092832e-03, 2.73114008e-01, 1.06278809e+00, -2.89326631e-02, 4.22752477e-01, 1.21143885e+00, -3.19700768e-02, 2.71768036e-01, 2.02959454e-02, -1.36139041e-02, -3.34836216e-02], [ 6.70031769e-01, -3.63322436e-02, 8.38081474e-02, 2.84759085e+00, -2.24092892e-03, 2.73113823e-01, 1.06278790e+00, -2.89326507e-02, 4.22755365e-01, 1.21143918e+00, -3.19700654e-02, 2.71769691e-01, 2.02959411e-02, -1.36139052e-02, -3.34836163e-02], [ 6.70031880e-01, -3.63322412e-02, 8.38085939e-02, 2.84759078e+00, -2.24092793e-03, 2.73114335e-01, 1.06278828e+00, -2.89326450e-02, 4.22756775e-01, 1.21143876e+00, -3.19700703e-02, 2.71768760e-01, 2.02959507e-02, -1.36139036e-02, -3.34835638e-02], [ 6.70031869e-01, -3.63322395e-02, 8.38085611e-02, 2.84759140e+00, -2.24092934e-03, 2.73113933e-01, 1.06278803e+00, -2.89326443e-02, 4.22756753e-01, 1.21143921e+00, -3.19700720e-02, 2.71768465e-01, 2.02959384e-02, -1.36139034e-02, -3.34835595e-02], [ 6.70032175e-01, -3.63322311e-02, 8.38088548e-02, 2.84759117e+00, -2.24092976e-03, 2.73114097e-01, 1.06278806e+00, -2.89326485e-02, 4.22756511e-01, 1.21143925e+00, -3.19700469e-02, 2.71770807e-01, 2.02959448e-02, -1.36139047e-02, -3.34836797e-02], [ 6.70031461e-01, -3.63322318e-02, 8.38089032e-02, 2.84759068e+00, -2.24092769e-03, 2.73114004e-01, 1.06278818e+00, -2.89326621e-02, 4.22753164e-01, 1.21143885e+00, -3.19700806e-02, 2.71767510e-01, 2.02959462e-02, -1.36139042e-02, -3.34835366e-02], [ 6.70031877e-01, -3.63322379e-02, 8.38086191e-02, 2.84759137e+00, -2.24092840e-03, 2.73114089e-01, 1.06278821e+00, -2.89326528e-02, 4.22755641e-01, 1.21143898e+00, -3.19700780e-02, 2.71767651e-01, 2.02959444e-02, -1.36139037e-02, -3.34835141e-02], [ 6.70031756e-01, -3.63322226e-02, 8.38091557e-02, 2.84759087e+00, -2.24093010e-03, 2.73113842e-01, 1.06278795e+00, -2.89326476e-02, 4.22755935e-01, 1.21143904e+00, -3.19700725e-02, 2.71768147e-01, 2.02959391e-02, -1.36139032e-02, -3.34835653e-02], [ 6.70031702e-01, -3.63322463e-02, 8.38082584e-02, 2.84759106e+00, -2.24092852e-03, 2.73113910e-01, 1.06278800e+00, -2.89326456e-02, 4.22756783e-01, 1.21143914e+00, -3.19700757e-02, 2.71768193e-01, 2.02959403e-02, -1.36139035e-02, -3.34835255e-02], [ 6.70031859e-01, -3.63322546e-02, 8.38082334e-02, 2.84759092e+00, -2.24092708e-03, 2.73114569e-01, 1.06278835e+00, -2.89326321e-02, 4.22759777e-01, 1.21143869e+00, -3.19700921e-02, 2.71766098e-01, 2.02959536e-02, -1.36139007e-02, -3.34833771e-02], [ 6.70031708e-01, -3.63322447e-02, 8.38083219e-02, 2.84759120e+00, -2.24092850e-03, 2.73113947e-01, 1.06278796e+00, -2.89326443e-02, 4.22756786e-01, 1.21143918e+00, -3.19700822e-02, 2.71767254e-01, 2.02959380e-02, -1.36139028e-02, -3.34834838e-02], [ 6.70031968e-01, -3.63322135e-02, 8.38096266e-02, 2.84759147e+00, -2.24093051e-03, 2.73114458e-01, 1.06278829e+00, -2.89326428e-02, 4.22756927e-01, 1.21143906e+00, -3.19700527e-02, 2.71769971e-01, 2.02959462e-02, -1.36139023e-02, -3.34836627e-02], [ 6.70031625e-01, -3.63322403e-02, 8.38083574e-02, 2.84759161e+00, -2.24092949e-03, 2.73114029e-01, 1.06278851e+00, -2.89326370e-02, 4.22758551e-01, 1.21143901e+00, -3.19700842e-02, 2.71766703e-01, 2.02959456e-02, -1.36139028e-02, -3.34834639e-02], [ 6.70031661e-01, -3.63322294e-02, 8.38089178e-02, 2.84759094e+00, -2.24092869e-03, 2.73113852e-01, 1.06278791e+00, -2.89326579e-02, 4.22753485e-01, 1.21143915e+00, -3.19700727e-02, 2.71768515e-01, 2.02959397e-02, -1.36139040e-02, -3.34835917e-02], [ 6.70031784e-01, -3.63322320e-02, 8.38086174e-02, 2.84759111e+00, -2.24092786e-03, 2.73114005e-01, 1.06278806e+00, -2.89326568e-02, 4.22754363e-01, 1.21143891e+00, -3.19700830e-02, 2.71767615e-01, 2.02959431e-02, -1.36139041e-02, -3.34835287e-02], [ 6.70032096e-01, -3.63322507e-02, 8.38083303e-02, 2.84759206e+00, -2.24092919e-03, 2.73114058e-01, 1.06278814e+00, -2.89326453e-02, 4.22756822e-01, 1.21143943e+00, -3.19700561e-02, 2.71770119e-01, 2.02959344e-02, -1.36139046e-02, -3.34836471e-02]]), array([0.0131015 , 0.0131015 , 0.0131015 , 0.0131015 , 0.0131015 , 0.0131015 , 0.0131015 , 0.0131015 , 0.0131015 , 0.0131015 , 0.0131015 , 0.0131015 , 0.01310151, 0.01310151, 0.01310151, 0.01310151])) fun: 0.013101501359042294 message: 'Optimization terminated successfully.' nfev: 10606 nit: 8060 status: 0 success: True x: array([ 6.70031816e-01, -3.63322025e-02, 8.38101728e-02, 2.84759078e+00, -2.24092832e-03, 2.73114008e-01, 1.06278809e+00, -2.89326631e-02, 4.22752477e-01, 1.21143885e+00, -3.19700768e-02, 2.71768036e-01, 2.02959454e-02, -1.36139041e-02, -3.34836216e-02])</t>
  </si>
  <si>
    <t xml:space="preserve">'bounds': array([[-0.00000000e+00, 2.47647233e+00], [-6.08343806e-01, -3.65006284e-03], [ 4.09838893e-03, 2.04919446e-01], [ 0.00000000e+00, 8.67589026e+00], [-2.59360462e-02, -1.55616277e-04], [ 2.69413648e-01, 1.34706824e+01], [-0.00000000e+00, 2.63859752e+00], [-4.74390021e-01, -2.84634013e-03], [ 5.44809361e-02, 2.72404681e+00], [-0.00000000e+00, 2.64382736e+00], [-5.50103030e-01, -3.30061818e-03], [ 1.50392244e-02, 7.51961219e-01], [ 0.00000000e+00, 4.30758272e-02], [-2.26878833e+00, -1.36127300e-02], [-1.27209334e+00, -2.54418668e-02]])} with extra penalty term</t>
  </si>
  <si>
    <t xml:space="preserve">stable</t>
  </si>
  <si>
    <t xml:space="preserve">{'all': {'NonbondedForce': [array([[1, 'OG303', -0.7479516044205987, 0.30621472749737266, 0.5853289337620703], [2, 'PG0', 2.380404558636908, 0.4137519635077237, 0.48703876927768136], [3, 'OG311', -0.8802676321259435, 0.29106032093670886, 4.98611020250904], [5, 'OG2P1', -1.0626120358817592, 0.2916355466905367, 1.0131730947421718], [9, 'HGP1', 0.48758814372434706, 0.031034872979988363, 0.10120804350600539]], dtype=object)]}, 'mol1': {'NonbondedForce': [array([[1, 'OG303', -0.7479516044205987, 0.30621472749737266, 0.5853289337620703], [2, 'PG0', 2.380404558636908, 0.4137519635077237, 0.48703876927768136], [3, 'OG311', -0.8802676321259435, 0.29106032093670886, 4.98611020250904], [5, 'OG2P1', -1.0626120358817592, 0.2916355466905367, 1.0131730947421718], [9, 'HGP1', 0.48758814372434706, 0.031034872979988363, 0.10120804350600539]], dtype=object)]}, 'mol2': {'NonbondedForce': [array([[1, 'OG303', -0.7479516044205987, 0.30621472749737266, 0.5853289337620703], [2, 'PG0', 2.380404558636908, 0.4137519635077237, 0.48703876927768136], [3, 'OG311', -0.8802676321259435, 0.29106032093670886, 4.98611020250904], [5, 'OG2P1', -1.0626120358817592, 0.2916355466905367, 1.0131730947421718], [9, 'HGP1', 0.48758814372434706, 0.031034872979988363, 0.10120804350600539]], dtype=object)]}}</t>
  </si>
  <si>
    <t xml:space="preserve">final_simplex: (array([[ 9.26480350e-01, -3.73026475e-02, 2.35329954e-02, 3.44116179e+00, -2.14469410e-03, 1.32174829e+00, 1.16050419e+00, -2.76195873e-02, 2.71473163e+00, 1.40455115e+00, -3.20684802e-02, 1.53503007e-01, 2.09996597e-02, -1.40736838e-02, -2.57455153e-02], [ 9.26963924e-01, -3.73572173e-02, 2.30713281e-02, 3.43986444e+00, -2.14594109e-03, 1.31226316e+00, 1.15922715e+00, -2.76164673e-02, 2.70678377e+00, 1.40476608e+00, -3.20713925e-02, 1.54244507e-01, 2.09910019e-02, -1.40635952e-02, -2.57506296e-02], [ 9.26387776e-01, -3.73320516e-02, 2.31930886e-02, 3.43977641e+00, -2.14438716e-03, 1.32266815e+00, 1.15963398e+00, -2.76261509e-02, 2.71550107e+00, 1.40464968e+00, -3.20698681e-02, 1.53051013e-01, 2.10010166e-02, -1.40556813e-02, -2.57512761e-02], [ 9.27019115e-01, -3.74075616e-02, 2.26011285e-02, 3.43889474e+00, -2.14508677e-03, 1.30805612e+00, 1.15913616e+00, -2.76196989e-02, 2.71247279e+00, 1.40411204e+00, -3.20383218e-02, 1.55781263e-01, 2.09983917e-02, -1.40577343e-02, -2.57490909e-02], [ 9.27044324e-01, -3.73158817e-02, 2.32385478e-02, 3.44065380e+00, -2.14382545e-03, 1.32316240e+00, 1.15956203e+00, -2.76247723e-02, 2.71180939e+00, 1.40450088e+00, -3.20346198e-02, 1.55631163e-01, 2.09911829e-02, -1.40697152e-02, -2.57374425e-02], [ 9.26760157e-01, -3.73482942e-02, 2.29622695e-02, 3.44047738e+00, -2.14405255e-03, 1.31624544e+00, 1.15978111e+00, -2.76283242e-02, 2.71185503e+00, 1.40416039e+00, -3.20333250e-02, 1.55475352e-01, 2.09907192e-02, -1.40668725e-02, -2.57391745e-02], [ 9.26595721e-01, -3.72901183e-02, 2.34578318e-02, 3.44255639e+00, -2.14640054e-03, 1.29672543e+00, 1.16021966e+00, -2.76223261e-02, 2.71363870e+00, 1.40492712e+00, -3.20435254e-02, 1.54838613e-01, 2.09758963e-02, -1.40741564e-02, -2.57473394e-02], [ 9.26203306e-01, -3.73315536e-02, 2.32387160e-02, 3.43948297e+00, -2.14299653e-03, 1.31775093e+00, 1.15975888e+00, -2.76275767e-02, 2.71127941e+00, 1.40422244e+00, -3.20610817e-02, 1.53861483e-01, 2.09997664e-02, -1.40712764e-02, -2.57413717e-02], [ 9.27015510e-01, -3.73102123e-02, 2.33174638e-02, 3.44262302e+00, -2.14183936e-03, 1.34171913e+00, 1.16040840e+00, -2.76273375e-02, 2.71494718e+00, 1.40487737e+00, -3.20686912e-02, 1.53261520e-01, 2.09928303e-02, -1.40686340e-02, -2.57388052e-02], [ 9.27502408e-01, -3.73965118e-02, 2.28317552e-02, 3.44333989e+00, -2.14070269e-03, 1.37347085e+00, 1.16081099e+00, -2.76133265e-02, 2.71749192e+00, 1.40469389e+00, -3.20599069e-02, 1.54535624e-01, 2.10024946e-02, -1.40560421e-02, -2.57409779e-02], [ 9.27067153e-01, -3.73262111e-02, 2.33278997e-02, 3.44247885e+00, -2.14159258e-03, 1.32740798e+00, 1.16019692e+00, -2.76262419e-02, 2.71440807e+00, 1.40454106e+00, -3.20518892e-02, 1.54252057e-01, 2.09884707e-02, -1.40747789e-02, -2.57396921e-02], [ 9.26959483e-01, -3.73223306e-02, 2.32889293e-02, 3.43967506e+00, -2.14104156e-03, 1.34936767e+00, 1.15922397e+00, -2.76310155e-02, 2.70943597e+00, 1.40435253e+00, -3.20371254e-02, 1.55372067e-01, 2.09987522e-02, -1.40686098e-02, -2.57278066e-02], [ 9.26390525e-01, -3.73905388e-02, 2.26945045e-02, 3.43720454e+00, -2.14203766e-03, 1.34136690e+00, 1.15954438e+00, -2.76229756e-02, 2.71455687e+00, 1.40338723e+00, -3.20576247e-02, 1.54245330e-01, 2.10226794e-02, -1.40586642e-02, -2.57484928e-02], [ 9.27228281e-01, -3.73706744e-02, 2.29683858e-02, 3.44057765e+00, -2.14341131e-03, 1.33288367e+00, 1.15944148e+00, -2.76232502e-02, 2.71445627e+00, 1.40475228e+00, -3.20420803e-02, 1.55189699e-01, 2.09915932e-02, -1.40614295e-02, -2.57389344e-02], [ 9.26344257e-01, -3.73323338e-02, 2.32926456e-02, 3.43710307e+00, -2.14550171e-03, 1.32236999e+00, 1.15891610e+00, -2.76177029e-02, 2.71024991e+00, 1.40408957e+00, -3.20434405e-02, 1.55608720e-01, 2.09966409e-02, -1.40789010e-02, -2.57423327e-02], [ 9.26817682e-01, -3.73964345e-02, 2.26695248e-02, 3.43982356e+00, -2.13873580e-03, 1.38475721e+00, 1.15922466e+00, -2.76321180e-02, 2.71586972e+00, 1.40428110e+00, -3.20527195e-02, 1.54141169e-01, 2.09994158e-02, -1.40497509e-02, -2.57338599e-02]]), array([0.00707848, 0.00707848, 0.00707849, 0.00707849, 0.00707851, 0.00707851, 0.00707851, 0.00707851, 0.00707852, 0.00707852, 0.00707852, 0.00707852, 0.00707853, 0.00707853, 0.00707853, 0.00707854])) fun: 0.007078479570776603 message: 'Maximum number of iterations has been exceeded.' nfev: 12980 nit: 10000 status: 2 success: False x: array([ 9.26480350e-01, -3.73026475e-02, 2.35329954e-02, 3.44116179e+00, -2.14469410e-03, 1.32174829e+00, 1.16050419e+00, -2.76195873e-02, 2.71473163e+00, 1.40455115e+00, -3.20684802e-02, 1.53503007e-01, 2.09996597e-02, -1.40736838e-02, -2.57455153e-02])</t>
  </si>
  <si>
    <t xml:space="preserve">{'method': 'Nelder-Mead', 'options': {'maxiter': 10000}, 'tol': 1e-05, 'bounds': array([[-0.00000000e+00, 2.47647233e+00], [-6.08343806e-01, -3.65006284e-03], [ 4.09838893e-03, 2.04919446e-01], [ 0.00000000e+00, 8.67589026e+00], [-2.59360462e-02, -1.55616277e-04], [ 2.69413648e-01, 1.34706824e+01], [-0.00000000e+00, 2.63859752e+00], [-4.74390021e-01, -2.84634013e-03], [ 5.44809361e-02, 2.72404681e+00], [-0.00000000e+00, 2.64382736e+00], [-5.50103030e-01, -3.30061818e-03], [ 1.50392244e-02, 7.51961219e-01], [ 0.00000000e+00, 4.30758272e-02], [-2.26878833e+00, -1.36127300e-02], [-1.27209334e+00, -2.54418668e-02]])} with extra penalty term</t>
  </si>
  <si>
    <t xml:space="preserve">commies</t>
  </si>
  <si>
    <t xml:space="preserve">moar commies</t>
  </si>
  <si>
    <t xml:space="preserve">{'all': {'NonbondedForce': [array([[1, 'OG303', -0.56, 0.29399657698631193, 0.41840000000000005],
          [2, 'PG0', 1.493, 0.38308644880034587, 2.44764],
          [3, 'OG311', -0.622, 0.3144872475035398, 0.8037464],
          [5, 'OG2P1', -0.624, 0.30290556416771536, 0.50208]], dtype=object)]},
 'mol1': {'NonbondedForce': [array([[1, 'OG303', -0.56, 0.29399657698631193, 0.41840000000000005],
          [2, 'PG0', 1.493, 0.38308644880034587, 2.44764],
          [3, 'OG311', -0.622, 0.3144872475035398, 0.8037464],
          [5, 'OG2P1', -0.624, 0.30290556416771536, 0.50208]], dtype=object)]}}</t>
  </si>
  <si>
    <t xml:space="preserve">{'all': {'NonbondedForce': [array([[1, 'OG303', -0.6785327246484958, 0.32623089270900113,
           0.5198448232799354],
          [2, 'PG0', 0.8348148473851832, 0.22296735265923037,
           3.1284629474422885],
          [3, 'OG311', -0.8774675848458572, 0.15725520306225324,
           1.0787757191222442],
          [5, 'OG2P1', -0.9980296687649021, -0.26519833869062565,
           0.5806053610625619]], dtype=object)]},
 'mol1': {'NonbondedForce': [array([[1, 'OG303', -0.6785327246484958, 0.32623089270900113,
           0.5198448232799354],
          [2, 'PG0', 0.8348148473851832, 0.22296735265923037,
           3.1284629474422885],
          [3, 'OG311', -0.8774675848458572, 0.15725520306225324,
           1.0787757191222442],
          [5, 'OG2P1', -0.9980296687649021, -0.26519833869062565,
           0.5806053610625619]], dtype=object)]}}</t>
  </si>
  <si>
    <t xml:space="preserve"> final_simplex: (array([[ 7.93343696e-01, -5.22153836e-02, -6.78493377e-03,
         1.04917728e+00, -1.22143881e-02,  7.46092954e+00,
         1.09022605e+00, -2.13620452e-02,  4.77145943e-01,
         1.24237937e+00,  3.96548371e-02,  4.98338803e-02],
       [ 7.93343696e-01, -5.22153836e-02, -6.78493377e-03,
         1.04917728e+00, -1.22143881e-02,  7.46092954e+00,
         1.09022605e+00, -2.13620452e-02,  4.77145943e-01,
         1.24237937e+00,  3.96548371e-02,  4.98338803e-02],
       [ 7.93343696e-01, -5.22153836e-02, -6.78493377e-03,
         1.04917728e+00, -1.22143881e-02,  7.46092954e+00,
         1.09022605e+00, -2.13620452e-02,  4.77145943e-01,
         1.24237937e+00,  3.96548371e-02,  4.98338803e-02],
       [ 7.93343696e-01, -5.22153836e-02, -6.78493377e-03,
         1.04917728e+00, -1.22143881e-02,  7.46092954e+00,
         1.09022605e+00, -2.13620452e-02,  4.77145943e-01,
         1.24237937e+00,  3.96548371e-02,  4.98338803e-02],
       [ 7.93343696e-01, -5.22153836e-02, -6.78493377e-03,
         1.04917728e+00, -1.22143881e-02,  7.46092954e+00,
         1.09022605e+00, -2.13620452e-02,  4.77145943e-01,
         1.24237937e+00,  3.96548371e-02,  4.98338803e-02],
       [ 7.93343696e-01, -5.22153836e-02, -6.78493377e-03,
         1.04917728e+00, -1.22143881e-02,  7.46092954e+00,
         1.09022605e+00, -2.13620452e-02,  4.77145943e-01,
         1.24237937e+00,  3.96548371e-02,  4.98338803e-02],
       [ 7.93343696e-01, -5.22153836e-02, -6.78493377e-03,
         1.04917728e+00, -1.22143881e-02,  7.46092954e+00,
         1.09022605e+00, -2.13620452e-02,  4.77145943e-01,
         1.24237937e+00,  3.96548371e-02,  4.98338803e-02],
       [ 7.93343696e-01, -5.22153836e-02, -6.78493377e-03,
         1.04917728e+00, -1.22143881e-02,  7.46092954e+00,
         1.09022605e+00, -2.13620452e-02,  4.77145943e-01,
         1.24237937e+00,  3.96548371e-02,  4.98338803e-02],
       [ 7.93343696e-01, -5.22153836e-02, -6.78493377e-03,
         1.04917728e+00, -1.22143881e-02,  7.46092954e+00,
         1.09022605e+00, -2.13620452e-02,  4.77145943e-01,
         1.24237937e+00,  3.96548371e-02,  4.98338803e-02],
       [ 7.93343696e-01, -5.22153836e-02, -6.78493377e-03,
         1.04917728e+00, -1.22143881e-02,  7.46092954e+00,
         1.09022605e+00, -2.13620452e-02,  4.77145943e-01,
         1.24237937e+00,  3.96548371e-02,  4.98338803e-02],
       [ 7.93343696e-01, -5.22153836e-02, -6.78493377e-03,
         1.04917728e+00, -1.22143881e-02,  7.46092954e+00,
         1.09022605e+00, -2.13620452e-02,  4.77145943e-01,
         1.24237937e+00,  3.96548371e-02,  4.98338803e-02],
       [ 7.93343696e-01, -5.22153836e-02, -6.78493377e-03,
         1.04917728e+00, -1.22143881e-02,  7.46092954e+00,
         1.09022605e+00, -2.13620452e-02,  4.77145943e-01,
         1.24237937e+00,  3.96548371e-02,  4.98338803e-02],
       [ 7.93343696e-01, -5.22153836e-02, -6.78493377e-03,
         1.04917728e+00, -1.22143881e-02,  7.46092954e+00,
         1.09022605e+00, -2.13620452e-02,  4.77145943e-01,
         1.24237937e+00,  3.96548371e-02,  4.98338803e-02]]), array([49142918.79627997, 49142919.00183798, 49142919.00183839,
       49142919.00183864, 49142919.00183883, 49142919.05002603,
       49142919.05002645, 49142919.05002654, 49142919.0500271 ,
       49142919.05002752, 49142919.17822053, 49142919.17822221,
       49142919.17822281]))
           fun: 49142918.796279974
       message: 'Maximum number of iterations has been exceeded.'
          nfev: 24817
           nit: 10000
        status: 2
       success: False
             x: array([ 7.93343696e-01, -5.22153836e-02, -6.78493377e-03,  1.04917728e+00,
       -1.22143881e-02,  7.46092954e+00,  1.09022605e+00, -2.13620452e-02,
        4.77145943e-01,  1.24237937e+00,  3.96548371e-02,  4.98338803e-02])</t>
  </si>
  <si>
    <t xml:space="preserve">Frame 22 has been dumped in all optimiziations here due to fckd geom which already originated from the md and clustering</t>
  </si>
  <si>
    <t xml:space="preserve">ini_simp = ([ 1.00456840e+00, -5.89743186e-02, -1.28879962e-04,  3.27884519e+00,
        9.12983892e-03,  2.74312856e+00,  1.02418290e+00, -6.22165204e-02,
        4.50329435e-03,  1.35734283e+00, -4.62842510e-02,  3.01467382e-02])</t>
  </si>
  <si>
    <t xml:space="preserve">max exceeded</t>
  </si>
  <si>
    <t xml:space="preserve">{'all': {'NonbondedForce': [array([[1, 'OG303', -0.56, 0.29399657698631193, 0.41840000000000005], [2, 'PG0', 1.493, 0.38308644880034587, 2.44764], [3, 'OG311', -0.622, 0.3144872475035398, 0.8037464], [5, 'OG2P1', -0.624, 0.30290556416771536, 0.50208], [9, 'HGP1', 0.42, 0.04000135244450124, 0.192464]], dtype=object)]}, 'mol1': {'NonbondedForce': [array([[1, 'OG303', -0.56, 0.29399657698631193, 0.41840000000000005], [2, 'PG0', 1.493, 0.38308644880034587, 2.44764], [3, 'OG311', -0.622, 0.3144872475035398, 0.8037464], [5, 'OG2P1', -0.624, 0.30290556416771536, 0.50208], [9, 'HGP1', 0.42, 0.04000135244450124, 0.192464]], dtype=object)]}}</t>
  </si>
  <si>
    <t xml:space="preserve">{'all': {'NonbondedForce': [array([[1, 'OG303', -0.5674432955513863, 0.27364954405209213, 0.4239612051048213], [2, 'PG0', 1.4940259220484058, 0.3785936562685944, 2.44716218244987], [3, 'OG311', -0.618151539600483, 0.31172466154030853, 0.8144294750063611], [5, 'OG2P1', -0.6322939579001151, 0.31071798307384646, 0.5087534461257853], [9, 'HGP1', 0.42558247166353935, 0.0405330343886076, 0.19502215434821749]], dtype=object)]}, 'mol1': {'NonbondedForce': [array([[1, 'OG303', -0.5674432955513863, 0.27364954405209213, 0.4239612051048213], [2, 'PG0', 1.4940259220484058, 0.3785936562685944, 2.44716218244987], [3, 'OG311', -0.618151539600483, 0.31172466154030853, 0.8144294750063611], [5, 'OG2P1', -0.6322939579001151, 0.31071798307384646, 0.5087534461257853], [9, 'HGP1', 0.42558247166353935, 0.0405330343886076, 0.19502215434821749]], dtype=object)]}}</t>
  </si>
  <si>
    <t xml:space="preserve">final_simplex: (array([[ 7.02628809e-01, -3.32946010e-02, 1.73755791e-02, 2.16033416e+00, -1.96384451e-03, 6.59298892e+00, 8.15526558e-01, -2.95758138e-02, 4.43708802e-01, 8.35838033e-01, -3.41853808e-02, 7.65125723e-02, 1.83323170e-02, -1.83921751e-02, -4.96172767e-02], [ 7.02628809e-01, -3.32946010e-02, 1.73755791e-02, 2.16033416e+00, -1.96384451e-03, 6.59298892e+00, 8.15526558e-01, -2.95758138e-02, 4.43708802e-01, 8.35838033e-01, -3.41853808e-02, 7.65125723e-02, 1.83323170e-02, -1.83921751e-02, -4.96172767e-02], [ 7.02628809e-01, -3.32946010e-02, 1.73755791e-02, 2.16033416e+00, -1.96384451e-03, 6.59298892e+00, 8.15526558e-01, -2.95758138e-02, 4.43708802e-01, 8.35838033e-01, -3.41853808e-02, 7.65125723e-02, 1.83323170e-02, -1.83921751e-02, -4.96172767e-02], [ 7.02628809e-01, -3.32946010e-02, 1.73755791e-02, 2.16033416e+00, -1.96384451e-03, 6.59298892e+00, 8.15526558e-01, -2.95758138e-02, 4.43708802e-01, 8.35838033e-01, -3.41853808e-02, 7.65125723e-02, 1.83323170e-02, -1.83921751e-02, -4.96172767e-02], [ 7.02628809e-01, -3.32946010e-02, 1.73755791e-02, 2.16033416e+00, -1.96384451e-03, 6.59298892e+00, 8.15526558e-01, -2.95758138e-02, 4.43708802e-01, 8.35838033e-01, -3.41853808e-02, 7.65125723e-02, 1.83323170e-02, -1.83921751e-02, -4.96172767e-02], [ 7.02628809e-01, -3.32946010e-02, 1.73755791e-02, 2.16033416e+00, -1.96384451e-03, 6.59298892e+00, 8.15526558e-01, -2.95758138e-02, 4.43708802e-01, 8.35838033e-01, -3.41853808e-02, 7.65125723e-02, 1.83323170e-02, -1.83921751e-02, -4.96172767e-02], [ 7.02628809e-01, -3.32946010e-02, 1.73755791e-02, 2.16033416e+00, -1.96384451e-03, 6.59298892e+00, 8.15526558e-01, -2.95758138e-02, 4.43708802e-01, 8.35838033e-01, -3.41853808e-02, 7.65125723e-02, 1.83323170e-02, -1.83921751e-02, -4.96172767e-02], [ 7.02628809e-01, -3.32946010e-02, 1.73755791e-02, 2.16033416e+00, -1.96384451e-03, 6.59298892e+00, 8.15526558e-01, -2.95758138e-02, 4.43708802e-01, 8.35838033e-01, -3.41853808e-02, 7.65125723e-02, 1.83323170e-02, -1.83921751e-02, -4.96172767e-02], [ 7.02628809e-01, -3.32946010e-02, 1.73755791e-02, 2.16033416e+00, -1.96384451e-03, 6.59298892e+00, 8.15526558e-01, -2.95758138e-02, 4.43708802e-01, 8.35838033e-01, -3.41853808e-02, 7.65125723e-02, 1.83323170e-02, -1.83921751e-02, -4.96172767e-02], [ 7.02628809e-01, -3.32946010e-02, 1.73755791e-02, 2.16033416e+00, -1.96384451e-03, 6.59298892e+00, 8.15526558e-01, -2.95758138e-02, 4.43708802e-01, 8.35838033e-01, -3.41853808e-02, 7.65125723e-02, 1.83323170e-02, -1.83921751e-02, -4.96172767e-02], [ 7.02628809e-01, -3.32946010e-02, 1.73755791e-02, 2.16033416e+00, -1.96384451e-03, 6.59298892e+00, 8.15526558e-01, -2.95758138e-02, 4.43708802e-01, 8.35838033e-01, -3.41853808e-02, 7.65125723e-02, 1.83323170e-02, -1.83921751e-02, -4.96172767e-02], [ 7.02628809e-01, -3.32946010e-02, 1.73755791e-02, 2.16033416e+00, -1.96384451e-03, 6.59298892e+00, 8.15526558e-01, -2.95758138e-02, 4.43708802e-01, 8.35838033e-01, -3.41853808e-02, 7.65125723e-02, 1.83323170e-02, -1.83921751e-02, -4.96172767e-02], [ 7.02628809e-01, -3.32946010e-02, 1.73755791e-02, 2.16033416e+00, -1.96384451e-03, 6.59298892e+00, 8.15526558e-01, -2.95758138e-02, 4.43708802e-01, 8.35838033e-01, -3.41853808e-02, 7.65125723e-02, 1.83323170e-02, -1.83921751e-02, -4.96172767e-02], [ 7.02628809e-01, -3.32946010e-02, 1.73755791e-02, 2.16033416e+00, -1.96384451e-03, 6.59298892e+00, 8.15526558e-01, -2.95758138e-02, 4.43708802e-01, 8.35838033e-01, -3.41853808e-02, 7.65125723e-02, 1.83323170e-02, -1.83921751e-02, -4.96172767e-02], [ 7.02628809e-01, -3.32946010e-02, 1.73755791e-02, 2.16033416e+00, -1.96384451e-03, 6.59298892e+00, 8.15526558e-01, -2.95758138e-02, 4.43708802e-01, 8.35838033e-01, -3.41853808e-02, 7.65125723e-02, 1.83323170e-02, -1.83921751e-02, -4.96172767e-02], [ 7.02628809e-01, -3.32946010e-02, 1.73755791e-02, 2.16033416e+00, -1.96384451e-03, 6.59298892e+00, 8.15526558e-01, -2.95758138e-02, 4.43708802e-01, 8.35838033e-01, -3.41853808e-02, 7.65125723e-02, 1.83323170e-02, -1.83921751e-02, -4.96172767e-02]]), array([ 166.15716118, 7264.54641785, 7264.54641786, 7264.54641786, 7264.54641787, 7264.54641787, 83695.78616767, 83695.78617438, 83695.78617438, 83695.78617438, 83695.78617441, 97562.8296573 , 97562.82972158, 97895.61565854, 97895.61565856, 97895.61565857])) fun: 166.15716117671656 message: 'Maximum number of iterations has been exceeded.' nfev: 28409 nit: 10000 status: 2 success: False x: array([ 7.02628809e-01, -3.32946010e-02, 1.73755791e-02, 2.16033416e+00, -1.96384451e-03, 6.59298892e+00, 8.15526558e-01, -2.95758138e-02, 4.43708802e-01, 8.35838033e-01, -3.41853808e-02, 7.65125723e-02, 1.83323170e-02, -1.83921751e-02, -4.96172767e-02])</t>
  </si>
  <si>
    <t xml:space="preserve">qm geom mm forces; with hydrogens, var per conf</t>
  </si>
  <si>
    <t xml:space="preserve">max exceeded (&gt; 20000)</t>
  </si>
  <si>
    <t xml:space="preserve">{'all': {'NonbondedForce': [array([[1, 'OG303', -0.5722941561579872, 0.27599228572683354, 0.4275759762691275], [2, 'PG0', 1.5068018349655565, 0.3757302131410531, 2.329509518039199], [3, 'OG311', -0.6146762466952279, 0.31439452444272886, 0.8213951623242128], [5, 'OG2P1', -0.6377144283643131, 0.31338289740412495, 0.5131081250939455], [9, 'HGP1', 0.4292239167657357, 0.040879818044184, 0.19669509242023514]], dtype=object)]}, 'mol1': {'NonbondedForce': [array([[1, 'OG303', -0.5722941561579872, 0.27599228572683354, 0.4275759762691275], [2, 'PG0', 1.5068018349655565, 0.3757302131410531, 2.329509518039199], [3, 'OG311', -0.6146762466952279, 0.31439452444272886, 0.8213951623242128], [5, 'OG2P1', -0.6377144283643131, 0.31338289740412495, 0.5131081250939455], [9, 'HGP1', 0.4292239167657357, 0.040879818044184, 0.19669509242023514]], dtype=object)]}}</t>
  </si>
  <si>
    <t xml:space="preserve"> final_simplex: (array([[ 7.08635320e-01, -3.35796395e-02,  1.75237265e-02,
         2.17880789e+00, -1.94899123e-03,  6.27601658e+00,
         8.10941609e-01, -2.98291250e-02,  4.47503774e-01,
         8.43003427e-01, -3.44785763e-02,  7.71674822e-02,
         1.84891753e-02, -1.85495308e-02, -5.00429033e-02],
       [ 7.08635320e-01, -3.35796395e-02,  1.75237265e-02,
         2.17880789e+00, -1.94899123e-03,  6.27601658e+00,
         8.10941609e-01, -2.98291250e-02,  4.47503774e-01,
         8.43003427e-01, -3.44785763e-02,  7.71674822e-02,
         1.84891753e-02, -1.85495308e-02, -5.00429033e-02],
       [ 7.08635320e-01, -3.35796395e-02,  1.75237265e-02,
         2.17880789e+00, -1.94899123e-03,  6.27601658e+00,
         8.10941609e-01, -2.98291250e-02,  4.47503774e-01,
         8.43003427e-01, -3.44785763e-02,  7.71674822e-02,
         1.84891753e-02, -1.85495308e-02, -5.00429033e-02],
       [ 7.08635320e-01, -3.35796395e-02,  1.75237265e-02,
         2.17880789e+00, -1.94899123e-03,  6.27601658e+00,
         8.10941609e-01, -2.98291250e-02,  4.47503774e-01,
         8.43003427e-01, -3.44785763e-02,  7.71674822e-02,
         1.84891753e-02, -1.85495308e-02, -5.00429033e-02],
       [ 7.08635320e-01, -3.35796395e-02,  1.75237265e-02,
         2.17880789e+00, -1.94899123e-03,  6.27601658e+00,
         8.10941609e-01, -2.98291250e-02,  4.47503774e-01,
         8.43003427e-01, -3.44785763e-02,  7.71674822e-02,
         1.84891753e-02, -1.85495308e-02, -5.00429033e-02],
       [ 7.08635320e-01, -3.35796395e-02,  1.75237265e-02,
         2.17880789e+00, -1.94899123e-03,  6.27601658e+00,
         8.10941609e-01, -2.98291250e-02,  4.47503774e-01,
         8.43003427e-01, -3.44785763e-02,  7.71674822e-02,
         1.84891753e-02, -1.85495308e-02, -5.00429033e-02],
       [ 7.08635320e-01, -3.35796395e-02,  1.75237265e-02,
         2.17880789e+00, -1.94899123e-03,  6.27601658e+00,
         8.10941609e-01, -2.98291250e-02,  4.47503774e-01,
         8.43003427e-01, -3.44785763e-02,  7.71674822e-02,
         1.84891753e-02, -1.85495308e-02, -5.00429033e-02],
       [ 7.08635320e-01, -3.35796395e-02,  1.75237265e-02,
         2.17880789e+00, -1.94899123e-03,  6.27601658e+00,
         8.10941609e-01, -2.98291250e-02,  4.47503774e-01,
         8.43003427e-01, -3.44785763e-02,  7.71674822e-02,
         1.84891753e-02, -1.85495308e-02, -5.00429033e-02],
       [ 7.08635320e-01, -3.35796395e-02,  1.75237265e-02,
         2.17880789e+00, -1.94899123e-03,  6.27601658e+00,
         8.10941609e-01, -2.98291250e-02,  4.47503774e-01,
         8.43003427e-01, -3.44785763e-02,  7.71674822e-02,
         1.84891753e-02, -1.85495308e-02, -5.00429033e-02],
       [ 7.08635320e-01, -3.35796395e-02,  1.75237265e-02,
         2.17880789e+00, -1.94899123e-03,  6.27601658e+00,
         8.10941609e-01, -2.98291250e-02,  4.47503774e-01,
         8.43003427e-01, -3.44785763e-02,  7.71674822e-02,
         1.84891753e-02, -1.85495308e-02, -5.00429033e-02],
       [ 7.08635320e-01, -3.35796395e-02,  1.75237265e-02,
         2.17880789e+00, -1.94899123e-03,  6.27601658e+00,
         8.10941609e-01, -2.98291250e-02,  4.47503774e-01,
         8.43003427e-01, -3.44785763e-02,  7.71674822e-02,
         1.84891753e-02, -1.85495308e-02, -5.00429033e-02],
       [ 7.08635320e-01, -3.35796395e-02,  1.75237265e-02,
         2.17880789e+00, -1.94899123e-03,  6.27601658e+00,
         8.10941609e-01, -2.98291250e-02,  4.47503774e-01,
         8.43003427e-01, -3.44785763e-02,  7.71674822e-02,
         1.84891753e-02, -1.85495308e-02, -5.00429033e-02],
       [ 7.08635320e-01, -3.35796395e-02,  1.75237265e-02,
         2.17880789e+00, -1.94899123e-03,  6.27601658e+00,
         8.10941609e-01, -2.98291250e-02,  4.47503774e-01,
         8.43003427e-01, -3.44785763e-02,  7.71674822e-02,
         1.84891753e-02, -1.85495308e-02, -5.00429033e-02],
       [ 7.08635320e-01, -3.35796395e-02,  1.75237265e-02,
         2.17880789e+00, -1.94899123e-03,  6.27601658e+00,
         8.10941609e-01, -2.98291250e-02,  4.47503774e-01,
         8.43003427e-01, -3.44785763e-02,  7.71674822e-02,
         1.84891753e-02, -1.85495308e-02, -5.00429033e-02],
       [ 7.08635320e-01, -3.35796395e-02,  1.75237265e-02,
         2.17880789e+00, -1.94899123e-03,  6.27601658e+00,
         8.10941609e-01, -2.98291250e-02,  4.47503774e-01,
         8.43003427e-01, -3.44785763e-02,  7.71674822e-02,
         1.84891753e-02, -1.85495308e-02, -5.00429033e-02],
       [ 7.08635320e-01, -3.35796395e-02,  1.75237265e-02,
         2.17880789e+00, -1.94899123e-03,  6.27601658e+00,
         8.10941609e-01, -2.98291250e-02,  4.47503774e-01,
         8.43003427e-01, -3.44785763e-02,  7.71674822e-02,
         1.84891753e-02, -1.85495308e-02, -5.00429033e-02]]), array([  166.16523221, 40611.36598799, 40611.36598801, 40611.36598802,
       40611.36598803, 40611.36779579, 54485.04559861, 54488.41183716,
       54488.41183717, 54488.41183718, 54488.4118372 , 97834.614451  ,
       97895.61416468, 97899.16820951, 97899.16820952, 97899.16820953]))
           fun: 166.16523221170203
       message: 'Maximum number of iterations has been exceeded.'
          nfev: 56796
           nit: 20000
        status: 2
       success: False
             x: array([ 7.08635320e-01, -3.35796395e-02,  1.75237265e-02,  2.17880789e+00,
       -1.94899123e-03,  6.27601658e+00,  8.10941609e-01, -2.98291250e-02,
        4.47503774e-01,  8.43003427e-01, -3.44785763e-02,  7.71674822e-02,
        1.84891753e-02, -1.85495308e-02, -5.00429033e-02])</t>
  </si>
  <si>
    <t xml:space="preserve">iterations exceeded</t>
  </si>
  <si>
    <t xml:space="preserve">{'all': {'NonbondedForce': [array([[1, 'OG303', -0.5642844317543648, 0.2962470899026672, 0.4216036504291084], [2, 'PG0', 1.48544992395516, 0.3817210706060198, 2.431097565256539], [3, 'OG311', -0.6002451466578339, 0.3156367016514619, 0.8098985389959568], [5, 'OG2P1', -0.6287759777971291, 0.3052248810994025, 0.5121986374708969], [9, 'HGP1', 0.42321441739191723, 0.0403076084315981, 0.19393753871701921]], dtype=object)]}, 'mol1': {'NonbondedForce': [array([[1, 'OG303', -0.5642844317543648, 0.2962470899026672, 0.4216036504291084], [2, 'PG0', 1.48544992395516, 0.3817210706060198, 2.431097565256539], [3, 'OG311', -0.6002451466578339, 0.3156367016514619, 0.8098985389959568], [5, 'OG2P1', -0.6287759777971291, 0.3052248810994025, 0.5121986374708969], [9, 'HGP1', 0.42321441739191723, 0.0403076084315981, 0.19393753871701921]], dtype=object)]}}</t>
  </si>
  <si>
    <t xml:space="preserve">fun: 0.016400676738745158 message: 'Maximum number of iterations has been exceeded.' nfev: 33272 nit: 10000 status: 2 success: False x: array([ 6.98717389e-01, -3.60440164e-02, 1.72789573e-02, 2.14793342e+00, -1.98006706e-03, 6.54970865e+00, 7.91902676e-01, -2.99469803e-02, 4.41240306e-01, 8.31187567e-01, -3.35810264e-02, 7.70307023e-02, 1.82303111e-02, -1.82898863e-02, -4.93413302e-02])</t>
  </si>
  <si>
    <t xml:space="preserve">qm geom mm forces; with hydrogens, var const</t>
  </si>
  <si>
    <t xml:space="preserve">scipy local Nelder-Mead</t>
  </si>
  <si>
    <t xml:space="preserve">{'all': {'CustomNonbondedForce': [array([[0.293996576986312, 0.41840000000000005, 'OG303', 1], [0.38308644880034587, 2.44764, 'PG1', 2], [0.31448724750353974, 0.8037464, 'OG311', 3], [0.30290556416771536, 0.50208, 'OG2P1', 4], [0.04000135244450124, 0.192464, 'HGP1', 6]], dtype=object), array([[0.31600000000000006, 0.31388368000000005, 'SOD', 'OG2P1', 1]], dtype=object)], 'NonbondedForce': [array([[1, 'OG303', -0.621], [2, 'PG1', 1.5], [3, 'OG311', -0.671], [4, 'OG2P1', -0.823], [9, 'HGP1', 0.338]], dtype=object)]}, 'nosol': {'CustomNonbondedForce': [array([[0.293996576986312, 0.41840000000000005, 'OG303', 1], [0.38308644880034587, 2.44764, 'PG1', 2], [0.31448724750353974, 0.8037464, 'OG311', 3], [0.30290556416771536, 0.50208, 'OG2P1', 4], [0.04000135244450124, 0.192464, 'HGP1', 6]], dtype=object), array([[0.31600000000000006, 0.31388368000000005, 'SOD', 'OG2P1', 1]], dtype=object)], 'NonbondedForce': [array([[1, 'OG303', -0.62], [2, 'PG1', 1.5], [3, 'OG311', -0.67], [4, 'OG2P1', -0.82], [9, 'HGP1', 0.33]], dtype=object)]}}</t>
  </si>
  <si>
    <t xml:space="preserve">{'all': {'CustomNonbondedForce': [array([[0.3613656120638002, 0.5658485282185834, 'OG303', 1], [0.47723808599247286, 2.857222848641986, 'PG1', 2], [0.5108412171495941, 0.0020521546214294505, 'OG311', 3], [0.2967098191935033, 1.6122998060823912, 'OG2P1', 4], [0.032292774719257206, 0.11944903827267522, 'HGP1', 6]], dtype=object), array([[0.64516600368149, 0.4586287185887815, 'SOD', 'OG2P1', 1]], dtype=object)], 'NonbondedForce': [array([[1, 'OG303', -1.0144397784494374], [2, 'PG1', 3.4587188009154253], [3, 'OG311', -0.6835259922458098], [4, 'OG2P1', -0.9442548353311654], [9, 'HGP1', 7.513862822713249e-06]], dtype=object)]}, 'nosol': {'CustomNonbondedForce': [array([[0.3613656120638002, 0.5658485282185834, 'OG303', 1], [0.47723808599247286, 2.857222848641986, 'PG1', 2], [0.5108412171495941, 0.0020521546214294505, 'OG311', 3], [0.2967098191935033, 1.6122998060823912, 'OG2P1', 4], [0.032292774719257206, 0.11944903827267522, 'HGP1', 6]], dtype=object), array([[0.64516600368149, 0.4586287185887815, 'SOD', 'OG2P1', 1]], dtype=object)], 'NonbondedForce': [array([[1, 'OG303', -1.0144397784494374], [2, 'PG1', 3.4587188009154253], [3, 'OG311', -0.6835259922458098], [4, 'OG2P1', -0.82], [9, 'HGP1', 7.513862822713249e-06]], dtype=object)]}}</t>
  </si>
  <si>
    <t xml:space="preserve">final_simplex: (array([[-3.00460060e-02, 4.73768452e-02, 1.73512170e-02, 8.01653940e+00, -2.84334282e-02, 1.23257067e-03, -2.11243794e-02, 3.15968749e-01, -1.36872937e-02, -2.62000225e-02, -3.46010103e-02, -2.58986017e-02, 1.32942624e+00, 5.30762004e+00, 9.41605511e-01, 1.49330356e+00, -1.81145664e-07], [-3.00460218e-02, 4.73765452e-02, 1.73512191e-02, 8.01653506e+00, -2.84334259e-02, 1.23256994e-03, -2.11243864e-02, 3.15967711e-01, -1.36872873e-02, -2.61998985e-02, -3.46008264e-02, -2.58985971e-02, 1.32942723e+00, 5.30761974e+00, 9.41606260e-01, 1.49330315e+00, -1.81237298e-07], [-3.00460204e-02, 4.73765552e-02, 1.73512196e-02, 8.01653425e+00, -2.84334185e-02, 1.23257005e-03, -2.11243859e-02, 3.15968045e-01, -1.36872868e-02, -2.61999088e-02, -3.46008586e-02, -2.58985906e-02, 1.32942755e+00, 5.30761893e+00, 9.41606320e-01, 1.49330381e+00, -1.81220270e-07], [-3.00460171e-02, 4.73765948e-02, 1.73512186e-02, 8.01653424e+00, -2.84334282e-02, 1.23256999e-03, -2.11243852e-02, 3.15967828e-01, -1.36872888e-02, -2.61999244e-02, -3.46008451e-02, -2.58985984e-02, 1.32942698e+00, 5.30761994e+00, 9.41606129e-01, 1.49330352e+00, -1.81225024e-07], [-3.00460216e-02, 4.73765825e-02, 1.73512211e-02, 8.01653963e+00, -2.84334230e-02, 1.23257034e-03, -2.11243847e-02, 3.15968536e-01, -1.36872897e-02, -2.61999021e-02, -3.46009369e-02, -2.58985818e-02, 1.32942802e+00, 5.30761853e+00, 9.41607192e-01, 1.49330498e+00, -1.81292356e-07], [-3.00460233e-02, 4.73764813e-02, 1.73512198e-02, 8.01653336e+00, -2.84334263e-02, 1.23256981e-03, -2.11243871e-02, 3.15967538e-01, -1.36872876e-02, -2.61998831e-02, -3.46007951e-02, -2.58985880e-02, 1.32942739e+00, 5.30761978e+00, 9.41606896e-01, 1.49330402e+00, -1.81288218e-07], [-3.00460265e-02, 4.73763793e-02, 1.73512184e-02, 8.01653083e+00, -2.84334294e-02, 1.23256927e-03, -2.11243879e-02, 3.15967105e-01, -1.36872854e-02, -2.61998444e-02, -3.46007128e-02, -2.58985989e-02, 1.32942775e+00, 5.30761983e+00, 9.41606701e-01, 1.49330346e+00, -1.81325686e-07], [-3.00460151e-02, 4.73766453e-02, 1.73512200e-02, 8.01653638e+00, -2.84334324e-02, 1.23257011e-03, -2.11243847e-02, 3.15967810e-01, -1.36872901e-02, -2.61999297e-02, -3.46008612e-02, -2.58986042e-02, 1.32942674e+00, 5.30761951e+00, 9.41605676e-01, 1.49330300e+00, -1.81274470e-07], [-3.00460248e-02, 4.73764933e-02, 1.73512195e-02, 8.01653289e+00, -2.84334255e-02, 1.23256988e-03, -2.11243868e-02, 3.15967421e-01, -1.36872873e-02, -2.61998951e-02, -3.46007888e-02, -2.58985893e-02, 1.32942707e+00, 5.30762130e+00, 9.41606728e-01, 1.49330352e+00, -1.81237946e-07], [-3.00460232e-02, 4.73764784e-02, 1.73512194e-02, 8.01653306e+00, -2.84334291e-02, 1.23256977e-03, -2.11243872e-02, 3.15967632e-01, -1.36872858e-02, -2.61998681e-02, -3.46007858e-02, -2.58986021e-02, 1.32942781e+00, 5.30761884e+00, 9.41606018e-01, 1.49330355e+00, -1.81244682e-07], [-3.00460252e-02, 4.73765085e-02, 1.73512199e-02, 8.01653439e+00, -2.84334218e-02, 1.23256992e-03, -2.11243861e-02, 3.15967706e-01, -1.36872855e-02, -2.61998850e-02, -3.46008136e-02, -2.58985988e-02, 1.32942761e+00, 5.30761963e+00, 9.41605927e-01, 1.49330294e+00, -1.81243171e-07], [-3.00460184e-02, 4.73765490e-02, 1.73512209e-02, 8.01652947e+00, -2.84334211e-02, 1.23257009e-03, -2.11243867e-02, 3.15967837e-01, -1.36872870e-02, -2.61999270e-02, -3.46008246e-02, -2.58985846e-02, 1.32942715e+00, 5.30762058e+00, 9.41606265e-01, 1.49330468e+00, -1.81105988e-07], [-3.00460223e-02, 4.73764397e-02, 1.73512197e-02, 8.01652977e+00, -2.84334237e-02, 1.23256948e-03, -2.11243889e-02, 3.15967028e-01, -1.36872859e-02, -2.61998734e-02, -3.46007228e-02, -2.58985930e-02, 1.32942704e+00, 5.30761963e+00, 9.41606572e-01, 1.49330313e+00, -1.81261584e-07], [-3.00460205e-02, 4.73765423e-02, 1.73512213e-02, 8.01653776e+00, -2.84334255e-02, 1.23256980e-03, -2.11243841e-02, 3.15968148e-01, -1.36872886e-02, -2.61998809e-02, -3.46008739e-02, -2.58985976e-02, 1.32942814e+00, 5.30761735e+00, 9.41606321e-01, 1.49330401e+00, -1.81412637e-07], [-3.00460280e-02, 4.73764402e-02, 1.73512179e-02, 8.01653289e+00, -2.84334198e-02, 1.23256982e-03, -2.11243860e-02, 3.15967289e-01, -1.36872871e-02, -2.61998938e-02, -3.46007743e-02, -2.58985804e-02, 1.32942710e+00, 5.30762156e+00, 9.41607335e-01, 1.49330359e+00, -1.81249361e-07], [-3.00460200e-02, 4.73765275e-02, 1.73512178e-02, 8.01653471e+00, -2.84334199e-02, 1.23256991e-03, -2.11243883e-02, 3.15967490e-01, -1.36872877e-02, -2.61999011e-02, -3.46008102e-02, -2.58985862e-02, 1.32942680e+00, 5.30761914e+00, 9.41607146e-01, 1.49330303e+00, -1.81227206e-07], [-3.00460095e-02, 4.73767321e-02, 1.73512178e-02, 8.01654069e+00, -2.84334306e-02, 1.23257045e-03, -2.11243843e-02, 3.15968183e-01, -1.36872953e-02, -2.61999715e-02, -3.46009531e-02, -2.58985824e-02, 1.32942606e+00, 5.30761992e+00, 9.41607682e-01, 1.49330412e+00, -1.81305523e-07], [-3.00460162e-02, 4.73766620e-02, 1.73512211e-02, 8.01654167e+00, -2.84334283e-02, 1.23257020e-03, -2.11243846e-02, 3.15967582e-01, -1.36872936e-02, -2.61999363e-02, -3.46008908e-02, -2.58985901e-02, 1.32942609e+00, 5.30762032e+00, 9.41607007e-01, 1.49330238e+00, -1.81232957e-07]]), array([0.01420426, 0.01420427, 0.01420427, 0.01420427, 0.01420427, 0.01420427, 0.01420427, 0.01420427, 0.01420427, 0.01420427, 0.01420428, 0.01420428, 0.01420428, 0.01420428, 0.01420428, 0.01420428, 0.01420428, 0.01420428])) fun: 0.014204261237072687 message: 'Optimization terminated successfully.' nfev: 3025 nit: 2192 status: 0 success: True x: array([-3.00460060e-02, 4.73768452e-02, 1.73512170e-02, 8.01653940e+00, -2.84334282e-02, 1.23257067e-03, -2.11243794e-02, 3.15968749e-01, -1.36872937e-02, -2.62000225e-02, -3.46010103e-02, -2.58986017e-02, 1.32942624e+00, 5.30762004e+00, 9.41605511e-01, 1.49330356e+00, -1.81145664e-07])</t>
  </si>
  <si>
    <t xml:space="preserve">var const
</t>
  </si>
  <si>
    <t xml:space="preserve">'bounds': array([[-8.31457776e-02, -2.49437333e-03],         [ 1.67452917e-04,  1.67452917e+00],         [ 1.09072725e-03,  3.63575750e-02],         [ 5.61141592e-03,  5.61141592e+01],         [-5.56600065e-02, -1.66980020e-03],         [ 1.20124465e-03,  1.20124465e+01],         [-7.11954423e-02, -2.13586327e-03],         [ 3.91946237e-04,  3.91946237e+00],         [-4.23849836e-01, -1.27154951e-02],         [-4.38679047e+00, -4.38679047e-04],         [-5.36308309e-02, -1.07261662e-02],         [-8.75279106e-01, -3.38817719e-03],         [-0.00000000e+00,  2.62100737e+00],         [ 0.00000000e+00,  9.20737696e+00],         [-0.00000000e+00,  2.75514535e+00],         [-0.00000000e+00,  3.16292480e+00],         [-2.41204758e-02, -0.00000000e+00]])}, adaptive: True, Opti.enforce_constraints = True (extra penalty term)
</t>
  </si>
  <si>
    <t xml:space="preserve">yes</t>
  </si>
  <si>
    <t xml:space="preserve">{'all': {'CustomNonbondedForce': [array([[0.3328750448536136, 1.0735145788111882, 'OG303', 1], [0.6854500553575378, 0.007133803254661978, 'PG1', 2], [0.5054160223563611, 0.0020004468605319065, 'OG311', 3], [0.29016122922401966, 1.4620631778450859, 'OG2P1', 4], [0.07722997953214875, 0.04887839871860435, 'HGP1', 6]], dtype=object), array([[0.6464619963248556, 1.3292412921248529, 'SOD', 'OG2P1', 1]], dtype=object)], 'NonbondedForce': [array([[1, 'OG303', -0.9381777407353192], [2, 'PG1', 2.9098262739635388], [3, 'OG311', -0.3969789184278028], [4, 'OG2P1', -0.9525409157978633], [9, 'HGP1', 0.007794104780198248]], dtype=object)]}, 'nosol': {'CustomNonbondedForce': [array([[0.3328750448536136, 1.0735145788111882, 'OG303', 1], [0.6854500553575378, 0.007133803254661978, 'PG1', 2], [0.5054160223563611, 0.0020004468605319065, 'OG311', 3], [0.29016122922401966, 1.4620631778450859, 'OG2P1', 4], [0.07722997953214875, 0.04887839871860435, 'HGP1', 6]], dtype=object), array([[0.6464619963248556, 1.3292412921248529, 'SOD', 'OG2P1', 1]], dtype=object)], 'NonbondedForce': [array([[1, 'OG303', -0.9381777407353192], [2, 'PG1', 2.9098262739635388], [3, 'OG311', -0.3969789184278028], [4, 'OG2P1', -0.82], [9, 'HGP1', 0.007794104780198248]], dtype=object)]}}</t>
  </si>
  <si>
    <t xml:space="preserve">final_simplex: (array([[-2.76771693e-02, 8.98818283e-02, 2.49213171e-02, 2.00150732e-02, -2.81314627e-02, 1.20151296e-03, -2.06581530e-02, 2.86525543e-01, -3.27339335e-02, -1.07208578e-02, -3.46691403e-02, -7.50619294e-02, 1.22949051e+00, 4.46531285e+00, 5.46866758e-01, 1.50640704e+00, -1.87998759e-04], [-2.76771544e-02, 8.98815738e-02, 2.49213018e-02, 2.00153686e-02, -2.81314591e-02, 1.20151305e-03, -2.06581571e-02, 2.86525080e-01, -3.27339141e-02, -1.07209647e-02, -3.46702940e-02, -7.50617503e-02, 1.22948539e+00, 4.46531123e+00, 5.46867310e-01, 1.50640764e+00, -1.87997515e-04], [-2.76771584e-02, 8.98815428e-02, 2.49213067e-02, 2.00152922e-02, -2.81314624e-02, 1.20151302e-03, -2.06581599e-02, 2.86525086e-01, -3.27338943e-02, -1.07209588e-02, -3.46700149e-02, -7.50617607e-02, 1.22948428e+00, 4.46531198e+00, 5.46867945e-01, 1.50640794e+00, -1.87997612e-04], [-2.76771620e-02, 8.98818332e-02, 2.49213229e-02, 2.00150329e-02, -2.81314656e-02, 1.20151298e-03, -2.06581512e-02, 2.86525651e-01, -3.27339257e-02, -1.07208459e-02, -3.46689065e-02, -7.50619717e-02, 1.22948953e+00, 4.46531363e+00, 5.46868142e-01, 1.50640699e+00, -1.87998853e-04], [-2.76771627e-02, 8.98816878e-02, 2.49213191e-02, 2.00151208e-02, -2.81314778e-02, 1.20151301e-03, -2.06581562e-02, 2.86525204e-01, -3.27338990e-02, -1.07208882e-02, -3.46691948e-02, -7.50618374e-02, 1.22948902e+00, 4.46531349e+00, 5.46865706e-01, 1.50640699e+00, -1.87998120e-04], [-2.76771723e-02, 8.98814263e-02, 2.49213196e-02, 2.00151093e-02, -2.81314763e-02, 1.20151299e-03, -2.06581606e-02, 2.86524729e-01, -3.27338011e-02, -1.07209593e-02, -3.46691342e-02, -7.50616948e-02, 1.22948365e+00, 4.46531370e+00, 5.46866416e-01, 1.50640846e+00, -1.87997242e-04], [-2.76771528e-02, 8.98816856e-02, 2.49212880e-02, 2.00154640e-02, -2.81314718e-02, 1.20151305e-03, -2.06581561e-02, 2.86525484e-01, -3.27339954e-02, -1.07209269e-02, -3.46706508e-02, -7.50618282e-02, 1.22948734e+00, 4.46530861e+00, 5.46866520e-01, 1.50640829e+00, -1.87997907e-04], [-2.76771560e-02, 8.98814895e-02, 2.49212934e-02, 2.00154354e-02, -2.81314691e-02, 1.20151300e-03, -2.06581519e-02, 2.86525077e-01, -3.27338977e-02, -1.07210116e-02, -3.46704339e-02, -7.50616640e-02, 1.22948375e+00, 4.46531219e+00, 5.46867107e-01, 1.50640643e+00, -1.87997160e-04], [-2.76771656e-02, 8.98814305e-02, 2.49213076e-02, 2.00153076e-02, -2.81314682e-02, 1.20151300e-03, -2.06581589e-02, 2.86524589e-01, -3.27338393e-02, -1.07209989e-02, -3.46699707e-02, -7.50616183e-02, 1.22948501e+00, 4.46531271e+00, 5.46864979e-01, 1.50640739e+00, -1.87996890e-04], [-2.76771678e-02, 8.98814891e-02, 2.49213104e-02, 2.00152157e-02, -2.81314822e-02, 1.20151299e-03, -2.06581555e-02, 2.86524877e-01, -3.27338470e-02, -1.07209697e-02, -3.46694949e-02, -7.50616735e-02, 1.22948564e+00, 4.46531405e+00, 5.46865249e-01, 1.50640657e+00, -1.87997304e-04], [-2.76771570e-02, 8.98816425e-02, 2.49212930e-02, 2.00154715e-02, -2.81314660e-02, 1.20151303e-03, -2.06581618e-02, 2.86525124e-01, -3.27339772e-02, -1.07209299e-02, -3.46708297e-02, -7.50617823e-02, 1.22948820e+00, 4.46530798e+00, 5.46864928e-01, 1.50640920e+00, -1.87997603e-04], [-2.76771642e-02, 8.98814935e-02, 2.49213107e-02, 2.00152780e-02, -2.81314699e-02, 1.20151302e-03, -2.06581649e-02, 2.86524795e-01, -3.27338734e-02, -1.07209368e-02, -3.46699547e-02, -7.50617461e-02, 1.22948510e+00, 4.46530999e+00, 5.46865849e-01, 1.50641026e+00, -1.87997267e-04], [-2.76771464e-02, 8.98813857e-02, 2.49212834e-02, 2.00156335e-02, -2.81314651e-02, 1.20151309e-03, -2.06581609e-02, 2.86524650e-01, -3.27339134e-02, -1.07210454e-02, -3.46713050e-02, -7.50615802e-02, 1.22948321e+00, 4.46530909e+00, 5.46865612e-01, 1.50640803e+00, -1.87996450e-04], [-2.76771548e-02, 8.98816733e-02, 2.49213222e-02, 2.00151378e-02, -2.81314644e-02, 1.20151302e-03, -2.06581608e-02, 2.86525222e-01, -3.27339037e-02, -1.07208862e-02, -3.46694270e-02, -7.50618837e-02, 1.22948698e+00, 4.46531266e+00, 5.46867986e-01, 1.50640820e+00, -1.87998179e-04], [-2.76771624e-02, 8.98814679e-02, 2.49213024e-02, 2.00153258e-02, -2.81314710e-02, 1.20151302e-03, -2.06581619e-02, 2.86524722e-01, -3.27338708e-02, -1.07209837e-02, -3.46700944e-02, -7.50616570e-02, 1.22948538e+00, 4.46531168e+00, 5.46865144e-01, 1.50640770e+00, -1.87997108e-04], [-2.76771554e-02, 8.98813520e-02, 2.49212848e-02, 2.00155937e-02, -2.81314684e-02, 1.20151304e-03, -2.06581570e-02, 2.86524658e-01, -3.27338852e-02, -1.07210529e-02, -3.46710823e-02, -7.50615582e-02, 1.22948247e+00, 4.46530963e+00, 5.46865536e-01, 1.50640816e+00, -1.87996354e-04], [-2.76771549e-02, 8.98815267e-02, 2.49212945e-02, 2.00154089e-02, -2.81314757e-02, 1.20151302e-03, -2.06581537e-02, 2.86524967e-01, -3.27339027e-02, -1.07209816e-02, -3.46702727e-02, -7.50616821e-02, 1.22948604e+00, 4.46531101e+00, 5.46865294e-01, 1.50640713e+00, -1.87997139e-04], [-2.76771625e-02, 8.98816732e-02, 2.49213106e-02, 2.00152486e-02, -2.81314789e-02, 1.20151297e-03, -2.06581502e-02, 2.86525392e-01, -3.27339220e-02, -1.07209139e-02, -3.46697155e-02, -7.50618166e-02, 1.22948775e+00, 4.46531313e+00, 5.46866345e-01, 1.50640670e+00, -1.87997990e-04]]), array([0.01864562, 0.01864563, 0.01864563, 0.01864564, 0.01864565, 0.01864565, 0.01864565, 0.01864565, 0.01864565, 0.01864566, 0.01864566, 0.01864566, 0.01864567, 0.01864567, 0.01864568, 0.01864568, 0.01864568, 0.01864568])) fun: 0.0186456150399398 message: 'Optimization terminated successfully.' nfev: 6835 nit: 5176 status: 0 success: True x: array([-2.76771693e-02, 8.98818283e-02, 2.49213171e-02, 2.00150732e-02, -2.81314627e-02, 1.20151296e-03, -2.06581530e-02, 2.86525543e-01, -3.27339335e-02, -1.07208578e-02, -3.46691403e-02, -7.50619294e-02, 1.22949051e+00, 4.46531285e+00, 5.46866758e-01, 1.50640704e+00, -1.87998759e-04])</t>
  </si>
  <si>
    <t xml:space="preserve">'bounds': array([[-8.31457776e-02, -2.49437333e-03], [ 1.67452917e-04, 1.67452917e+00], [ 1.09072725e-03, 3.63575750e-02], [ 5.61141592e-03, 5.61141592e+01], [-5.56600065e-02, -1.66980020e-03], [ 1.20124465e-03, 1.20124465e+01], [-7.11954423e-02, -2.13586327e-03], [ 3.91946237e-04, 3.91946237e+00], [-4.23849836e-01, -1.27154951e-02], [-4.38679047e+00, -4.38679047e-04], [-5.36308309e-02, -1.07261662e-02], [-8.75279106e-01, -3.38817719e-03], [-0.00000000e+00, 2.62100737e+00], [ 0.00000000e+00, 9.20737696e+00], [-0.00000000e+00, 2.75514535e+00], [-0.00000000e+00, 3.16292480e+00], [-2.41204758e-02, -0.00000000e+00]])}, adaptive: True, Opti.enforce_constraints = True (extra penalty term)</t>
  </si>
  <si>
    <t xml:space="preserve">failed</t>
  </si>
  <si>
    <t xml:space="preserve">{'all': {'CustomNonbondedForce': [array([[0.293996576986312, 0.41840000000000005, 'OG303', 1], [0.38308644880034587, 2.44764, 'PG1', 2], [0.31448724750353974, 0.8037464, 'OG311', 3], [0.30290556416771536, 0.50208, 'OG2P1', 4], [0.04000135244450124, 0.192464, 'HGP1', 6]], dtype=object), array([[0.31600000000000006, 0.31388368000000005, 'SOD', 'OG2P1', 1]], dtype=object)], 'NonbondedForce': [array([[1, 'OG303', -0.62], [2, 'PG1', 1.5], [3, 'OG311', -0.67], [4, 'OG2P1', -0.82], [9, 'HGP1', 0.33]], dtype=object)]}</t>
  </si>
  <si>
    <t xml:space="preserve">does not converge</t>
  </si>
  <si>
    <t xml:space="preserve">{'all': {'NonbondedForce': [array([[9, 'OG303', -0.621, 0.29399657698631193, 0.41840000000000005], [10, 'PG1', 1.5, 0.38308644880034587, 2.44764], [11, 'OG311', -0.671, 0.3144872475035398, 0.8037464], [12, 'OG2P1', -0.823, 0.30290556416771536, 0.50208], [17, 'HGP1', 0.338, 0.04000135244450124, 0.192464]], dtype=object)]}, 'mol2': {'NonbondedForce': [array([[1, 'OG303', -0.621, 0.29399657698631193, 0.41840000000000005], [2, 'PG1', 1.5, 0.38308644880034587, 2.44764], [3, 'OG311', -0.671, 0.3144872475035398, 0.8037464], [4, 'OG2P1', -0.823, 0.30290556416771536, 0.50208], [9, 'HGP1', 0.338, 0.04000135244450124, 0.192464]], dtype=object)]}}</t>
  </si>
  <si>
    <t xml:space="preserve">{'all': {'NonbondedForce': [array([[9, 'OG303', -0.5628913485838637, 0.3437931420544635, 0.18670228592150673], [10, 'PG1', 1.5951935558946617, 0.2524893118837401, 5.284337406810879], [11, 'OG311', -0.5611960295799088, 0.37288854273912725, 0.2272659433306572], [12, 'OG2P1', -0.7123840903636414, 0.3122996592853575, 0.6479057916962696], [17, 'HGP1', 0.2516539451283582, 0.09602473862676064, 0.16448752929287175]], dtype=object)]}, 'mol2': {'NonbondedForce': [array([[1, 'OG303', -0.5628913485838637, 0.3437931420544635, 0.18670228592150673], [2, 'PG1', 1.5951935558946617, 0.2524893118837401, 5.284337406810879], [3, 'OG311', -0.5611960295799088, 0.37288854273912725, 0.2272659433306572], [4, 'OG2P1', -0.7123840903636414, 0.3122996592853575, 0.6479057916962696], [9, 'HGP1', 0.2516539451283582, 0.09602473862676064, 0.16448752929287175]], dtype=object)]}}</t>
  </si>
  <si>
    <t xml:space="preserve">final_simplex: (array([[ 6.96936321e-01, -2.92264357e-02, 1.34037732e-02, 2.28889008e+00, 6.88316638e-03, 1.38930163e+01, 7.30215544e-01, -2.20711402e-02, 1.26701405e-01, 1.06339024e+00, -2.30434528e-02, 1.14820776e-01, -7.43834970e-03, -3.89013822e-02, -3.50326591e-02], [ 6.96923919e-01, -2.92269207e-02, 1.33999181e-02, 2.28889307e+00, 6.88418581e-03, 1.38925808e+01, 7.30209711e-01, -2.20711633e-02, 1.26713694e-01, 1.06339536e+00, -2.30434440e-02, 1.14821881e-01, -7.43853380e-03, -3.88992447e-02, -3.50322111e-02], [ 6.96945544e-01, -2.92270432e-02, 1.34002445e-02, 2.28889178e+00, 6.88348606e-03, 1.38930423e+01, 7.30213684e-01, -2.20713696e-02, 1.26685981e-01, 1.06338650e+00, -2.30434196e-02, 1.14824123e-01, -7.43843082e-03, -3.89006509e-02, -3.50315059e-02], [ 6.96937732e-01, -2.92268698e-02, 1.34007023e-02, 2.28888580e+00, 6.88260149e-03, 1.38940114e+01, 7.30212117e-01, -2.20715539e-02, 1.26663337e-01, 1.06338532e+00, -2.30433772e-02, 1.14825400e-01, -7.43812236e-03, -3.89036847e-02, -3.50310928e-02], [ 6.96940557e-01, -2.92268326e-02, 1.34010525e-02, 2.28888292e+00, 6.88352180e-03, 1.38930357e+01, 7.30216788e-01, -2.20712018e-02, 1.26692910e-01, 1.06338679e+00, -2.30434014e-02, 1.14822947e-01, -7.43858143e-03, -3.89006669e-02, -3.50319659e-02], [ 6.96941824e-01, -2.92271917e-02, 1.34001125e-02, 2.28889007e+00, 6.88383516e-03, 1.38926519e+01, 7.30212150e-01, -2.20712947e-02, 1.26701389e-01, 1.06338739e+00, -2.30434440e-02, 1.14822890e-01, -7.43840262e-03, -3.88996211e-02, -3.50317753e-02], [ 6.96946092e-01, -2.92273889e-02, 1.33985453e-02, 2.28890470e+00, 6.88323821e-03, 1.38935795e+01, 7.30207799e-01, -2.20714923e-02, 1.26664944e-01, 1.06339098e+00, -2.30434171e-02, 1.14826900e-01, -7.43842321e-03, -3.89018328e-02, -3.50309665e-02], [ 6.96940235e-01, -2.92266535e-02, 1.34024834e-02, 2.28889445e+00, 6.88402626e-03, 1.38923112e+01, 7.30214503e-01, -2.20709203e-02, 1.26717280e-01, 1.06339244e+00, -2.30434735e-02, 1.14820943e-01, -7.43862289e-03, -3.88987474e-02, -3.50328070e-02], [ 6.96942225e-01, -2.92269110e-02, 1.34011287e-02, 2.28889377e+00, 6.88320085e-03, 1.38934194e+01, 7.30210761e-01, -2.20711392e-02, 1.26679804e-01, 1.06339001e+00, -2.30434178e-02, 1.14824926e-01, -7.43837804e-03, -3.89016602e-02, -3.50317687e-02], [ 6.96947086e-01, -2.92273768e-02, 1.33986208e-02, 2.28889373e+00, 6.88338975e-03, 1.38934101e+01, 7.30217631e-01, -2.20714509e-02, 1.26666657e-01, 1.06337964e+00, -2.30433988e-02, 1.14826424e-01, -7.43857611e-03, -3.89012807e-02, -3.50310443e-02], [ 6.96942495e-01, -2.92270050e-02, 1.34000793e-02, 2.28888935e+00, 6.88322909e-03, 1.38934616e+01, 7.30208378e-01, -2.20713254e-02, 1.26674589e-01, 1.06338749e+00, -2.30434119e-02, 1.14825255e-01, -7.43841038e-03, -3.89017928e-02, -3.50314329e-02], [ 6.96939723e-01, -2.92269099e-02, 1.34004781e-02, 2.28889152e+00, 6.88321714e-03, 1.38934409e+01, 7.30208035e-01, -2.20712368e-02, 1.26677809e-01, 1.06338818e+00, -2.30434259e-02, 1.14825326e-01, -7.43832643e-03, -3.89017343e-02, -3.50315198e-02], [ 6.96943326e-01, -2.92271627e-02, 1.33990751e-02, 2.28888918e+00, 6.88355275e-03, 1.38932655e+01, 7.30206962e-01, -2.20713461e-02, 1.26679030e-01, 1.06339126e+00, -2.30433890e-02, 1.14825599e-01, -7.43838109e-03, -3.89009905e-02, -3.50311429e-02], [ 6.96938415e-01, -2.92267121e-02, 1.34020443e-02, 2.28888374e+00, 6.88310416e-03, 1.38933718e+01, 7.30202359e-01, -2.20712671e-02, 1.26688431e-01, 1.06338948e+00, -2.30434481e-02, 1.14822352e-01, -7.43843851e-03, -3.89019362e-02, -3.50323900e-02], [ 6.96940185e-01, -2.92270614e-02, 1.33999582e-02, 2.28888982e+00, 6.88348927e-03, 1.38932822e+01, 7.30207007e-01, -2.20712326e-02, 1.26680900e-01, 1.06338672e+00, -2.30433981e-02, 1.14825218e-01, -7.43829520e-03, -3.89010852e-02, -3.50314707e-02], [ 6.96939605e-01, -2.92267353e-02, 1.34022354e-02, 2.28889908e+00, 6.88391950e-03, 1.38923752e+01, 7.30215722e-01, -2.20711138e-02, 1.26714998e-01, 1.06339212e+00, -2.30434663e-02, 1.14820884e-01, -7.43849668e-03, -3.88990121e-02, -3.50325805e-02]]), array([0.00759676, 0.00759676, 0.00759676, 0.00759676, 0.00759676, 0.00759676, 0.00759676, 0.00759676, 0.00759676, 0.00759676, 0.00759676, 0.00759676, 0.00759676, 0.00759677, 0.00759677, 0.00759677])) fun: 0.007596763384451841 message: 'Optimization terminated successfully.' nfev: 2330 nit: 1712 status: 0 success: True x: array([ 6.96936321e-01, -2.92264357e-02, 1.34037732e-02, 2.28889008e+00, 6.88316638e-03, 1.38930163e+01, 7.30215544e-01, -2.20711402e-02, 1.26701405e-01, 1.06339024e+00, -2.30434528e-02, 1.14820776e-01, -7.43834970e-03, -3.89013822e-02, -3.50326591e-02])</t>
  </si>
  <si>
    <t xml:space="preserve">{'method': 'Nelder-Mead', 'options': {'maxiter': 10000}, 'tol': 0.001, 'bounds': array([[-0.00000000e+00, 2.47629788e+00], [-8.50138037e-02, -2.55041411e-03], [ 1.43534130e-04, 1.43534130e+00], [ 0.00000000e+00, 8.60919668e+00], [ 8.17882472e-04, 2.72627491e-02], [ 5.25828101e-03, 5.25828101e+01], [-0.00000000e+00, 2.60232405e+00], [-5.91901966e-02, -1.77570590e-03], [ 1.11480874e-03, 1.11480874e+01], [-0.00000000e+00, 2.98544360e+00], [-7.37861484e-02, -2.21358445e-03], [ 3.54451527e-04, 3.54451527e+00], [-2.95579753e-02, -0.00000000e+00], [-4.05114256e-01, -1.21534277e-02], [-4.25942842e+00, -4.25942842e-04]])} adaptive: True, Opti.enforce_constraints = True (extra penalty term)</t>
  </si>
  <si>
    <t xml:space="preserve">{'all': {'NonbondedForce': [array([[9, 'OG303', -0.5599129954869155, 0.33766560536389834, 0.24463550238426554], [10, 'PG1', 1.5960792979624205, 0.26825370933543097, 5.282265979653451], [11, 'OG311', -0.5716323692701902, 0.4691919782083792, 0.007188878217136525], [12, 'OG2P1', -0.7118157844219934, 0.3123765806333538, 0.6440177463798187], [17, 'HGP1', 0.25479322119944364, 0.08428142176355477, 0.1858064551933233]], dtype=object)]}, 'mol2': {'NonbondedForce': [array([[1, 'OG303', -0.5599129954869155, 0.33766560536389834, 0.24463550238426554], [2, 'PG1', 1.5960792979624205, 0.26825370933543097, 5.282265979653451], [3, 'OG311', -0.5716323692701902, 0.4691919782083792, 0.007188878217136525], [4, 'OG2P1', -0.7118157844219934, 0.3123765806333538, 0.6440177463798187], [9, 'HGP1', 0.25479322119944364, 0.08428142176355477, 0.1858064551933233]], dtype=object)]}}</t>
  </si>
  <si>
    <t xml:space="preserve">final_simplex: (array([[ 6.93255734e-01, -2.87062403e-02, 1.75567571e-02, 2.29016002e+00, 7.31332927e-03, 1.38878220e+01, 7.43786184e-01, -2.77715756e-02, 4.00709748e-03, 1.06254303e+00, -2.30490647e-02, 1.14136534e-01, -7.53117120e-03, -3.41435988e-02, -3.95714938e-02], [ 6.93255605e-01, -2.87062331e-02, 1.75568052e-02, 2.29016012e+00, 7.31332915e-03, 1.38878224e+01, 7.43786285e-01, -2.77715520e-02, 4.00714774e-03, 1.06254300e+00, -2.30490652e-02, 1.14136531e-01, -7.53116901e-03, -3.41436380e-02, -3.95714520e-02], [ 6.93255651e-01, -2.87062336e-02, 1.75568045e-02, 2.29016005e+00, 7.31333248e-03, 1.38878223e+01, 7.43786213e-01, -2.77715491e-02, 4.00714939e-03, 1.06254302e+00, -2.30490647e-02, 1.14136535e-01, -7.53117066e-03, -3.41436334e-02, -3.95714395e-02], [ 6.93255709e-01, -2.87062362e-02, 1.75567798e-02, 2.29016016e+00, 7.31332718e-03, 1.38878234e+01, 7.43786271e-01, -2.77715663e-02, 4.00712020e-03, 1.06254301e+00, -2.30490647e-02, 1.14136523e-01, -7.53117186e-03, -3.41436200e-02, -3.95714754e-02], [ 6.93255685e-01, -2.87062391e-02, 1.75567533e-02, 2.29016016e+00, 7.31333508e-03, 1.38878163e+01, 7.43786297e-01, -2.77715736e-02, 4.00709092e-03, 1.06254303e+00, -2.30490648e-02, 1.14136540e-01, -7.53117089e-03, -3.41435908e-02, -3.95714826e-02], [ 6.93255612e-01, -2.87062317e-02, 1.75568251e-02, 2.29015996e+00, 7.31332814e-03, 1.38878250e+01, 7.43786135e-01, -2.77715412e-02, 4.00717962e-03, 1.06254304e+00, -2.30490656e-02, 1.14136536e-01, -7.53116872e-03, -3.41436540e-02, -3.95714366e-02], [ 6.93255471e-01, -2.87062368e-02, 1.75567803e-02, 2.29016006e+00, 7.31333156e-03, 1.38878253e+01, 7.43786308e-01, -2.77715628e-02, 4.00711600e-03, 1.06254297e+00, -2.30490650e-02, 1.14136529e-01, -7.53117349e-03, -3.41436210e-02, -3.95714661e-02], [ 6.93255702e-01, -2.87062321e-02, 1.75568237e-02, 2.29015996e+00, 7.31332826e-03, 1.38878264e+01, 7.43786200e-01, -2.77715416e-02, 4.00717557e-03, 1.06254295e+00, -2.30490649e-02, 1.14136531e-01, -7.53117156e-03, -3.41436511e-02, -3.95714279e-02], [ 6.93255548e-01, -2.87062367e-02, 1.75567720e-02, 2.29016020e+00, 7.31333177e-03, 1.38878197e+01, 7.43786260e-01, -2.77715675e-02, 4.00710793e-03, 1.06254308e+00, -2.30490652e-02, 1.14136533e-01, -7.53116943e-03, -3.41436122e-02, -3.95714806e-02], [ 6.93255572e-01, -2.87062363e-02, 1.75567777e-02, 2.29016012e+00, 7.31333013e-03, 1.38878211e+01, 7.43786189e-01, -2.77715651e-02, 4.00710810e-03, 1.06254310e+00, -2.30490654e-02, 1.14136534e-01, -7.53116914e-03, -3.41436189e-02, -3.95714800e-02], [ 6.93255581e-01, -2.87062343e-02, 1.75567963e-02, 2.29016011e+00, 7.31333224e-03, 1.38878207e+01, 7.43786271e-01, -2.77715536e-02, 4.00714273e-03, 1.06254301e+00, -2.30490655e-02, 1.14136538e-01, -7.53116997e-03, -3.41436284e-02, -3.95714516e-02], [ 6.93255634e-01, -2.87062367e-02, 1.75567789e-02, 2.29016011e+00, 7.31333009e-03, 1.38878222e+01, 7.43786270e-01, -2.77715646e-02, 4.00711527e-03, 1.06254300e+00, -2.30490649e-02, 1.14136531e-01, -7.53117091e-03, -3.41436170e-02, -3.95714718e-02], [ 6.93255682e-01, -2.87062375e-02, 1.75567720e-02, 2.29016010e+00, 7.31333356e-03, 1.38878194e+01, 7.43786331e-01, -2.77715654e-02, 4.00711215e-03, 1.06254294e+00, -2.30490647e-02, 1.14136537e-01, -7.53117173e-03, -3.41436054e-02, -3.95714648e-02], [ 6.93255653e-01, -2.87062354e-02, 1.75567890e-02, 2.29016007e+00, 7.31333169e-03, 1.38878215e+01, 7.43786264e-01, -2.77715573e-02, 4.00713537e-03, 1.06254300e+00, -2.30490650e-02, 1.14136535e-01, -7.53117143e-03, -3.41436224e-02, -3.95714555e-02], [ 6.93255651e-01, -2.87062359e-02, 1.75567828e-02, 2.29016014e+00, 7.31333066e-03, 1.38878210e+01, 7.43786295e-01, -2.77715623e-02, 4.00712242e-03, 1.06254299e+00, -2.30490649e-02, 1.14136532e-01, -7.53117053e-03, -3.41436185e-02, -3.95714662e-02], [ 6.93255640e-01, -2.87062359e-02, 1.75567853e-02, 2.29016009e+00, 7.31333187e-03, 1.38878214e+01, 7.43786262e-01, -2.77715594e-02, 4.00712850e-03, 1.06254300e+00, -2.30490650e-02, 1.14136534e-01, -7.53117130e-03, -3.41436198e-02, -3.95714599e-02]]), array([0.00759176, 0.00759176, 0.00759176, 0.00759176, 0.00759176, 0.00759176, 0.00759176, 0.00759176, 0.00759176, 0.00759176, 0.00759176, 0.00759176, 0.00759176, 0.00759176, 0.00759176, 0.00759176])) fun: 0.007591761912433404 message: 'Optimization terminated successfully.' nfev: 2745 nit: 1956 status: 0 success: True x: array([ 6.93255734e-01, -2.87062403e-02, 1.75567571e-02, 2.29016002e+00, 7.31332927e-03, 1.38878220e+01, 7.43786184e-01, -2.77715756e-02, 4.00709748e-03, 1.06254303e+00, -2.30490647e-02, 1.14136534e-01, -7.53117120e-03, -3.41435988e-02, -3.95714938e-02])</t>
  </si>
  <si>
    <t xml:space="preserve">{'method': 'Nelder-Mead', 'options': {'maxiter': 10000}, 'tol': 1e-05, 'bounds': array([[-0.00000000e+00, 2.47629788e+00], [-8.50138037e-02, -2.55041411e-03], [ 1.43534130e-04, 1.43534130e+00], [ 0.00000000e+00, 8.60919668e+00], [ 8.17882472e-04, 2.72627491e-02], [ 5.25828101e-03, 5.25828101e+01], [-0.00000000e+00, 2.60232405e+00], [-5.91901966e-02, -1.77570590e-03], [ 1.11480874e-03, 1.11480874e+01], [-0.00000000e+00, 2.98544360e+00], [-7.37861484e-02, -2.21358445e-03], [ 3.54451527e-04, 3.54451527e+00], [-2.95579753e-02, -0.00000000e+00], [-4.05114256e-01, -1.21534277e-02], [-4.25942842e+00, -4.25942842e-04]])}   adaptive: True, Opti.enforce_constraints = True (extra penalty term)</t>
  </si>
  <si>
    <t xml:space="preserve">{'all': {'NonbondedForce': [array([[9, 'OG303', -0.5822100752328345, 0.32463993041930755, 0.39886662800256806], [10, 'PG1', 1.69166026291533, 0.24578154970663865, 1.277143326335016], [11, 'OG311', -0.693589281540762, 0.5431331805258888, 0.0020002390832146205], [12, 'OG2P1', -0.7429931295443224, 0.3069656965561575, 0.8501271401278906], [17, 'HGP1', 0.26789812896558507, 0.05904131091001402, 0.09655762642645165]], dtype=object)]}, 'mol2': {'NonbondedForce': [array([[1, 'OG303', -0.5822100752328345, 0.32463993041930755, 0.39886662800256806], [2, 'PG1', 1.69166026291533, 0.24578154970663865, 1.277143326335016], [3, 'OG311', -0.693589281540762, 0.5431331805258888, 0.0020002390832146205], [4, 'OG2P1', -0.7429931295443224, 0.3069656965561575, 0.8501271401278906], [9, 'HGP1', 0.26789812896558507, 0.05904131091001402, 0.09655762642645165]], dtype=object)]}}</t>
  </si>
  <si>
    <t xml:space="preserve">final_simplex: (array([[ 7.20862703e-01, -2.75988742e-02, 2.86254953e-02, 2.42730609e+00, 6.70068898e-03, 3.35778908e+00, 9.02472133e-01, -3.21481624e-02, 1.11494204e-03, 1.10908201e+00, -2.26498165e-02, 1.50664412e-01, -7.91852427e-03, -2.39184765e-02, -2.05639915e-02], [ 7.20862802e-01, -2.75988755e-02, 2.86254875e-02, 2.42730599e+00, 6.70068299e-03, 3.35778636e+00, 9.02472109e-01, -3.21481610e-02, 1.11494204e-03, 1.10908201e+00, -2.26498161e-02, 1.50664449e-01, -7.91852803e-03, -2.39184767e-02, -2.05640053e-02], [ 7.20862802e-01, -2.75988755e-02, 2.86254865e-02, 2.42730593e+00, 6.70068184e-03, 3.35778735e+00, 9.02472098e-01, -3.21481601e-02, 1.11494203e-03, 1.10908201e+00, -2.26498163e-02, 1.50664442e-01, -7.91852804e-03, -2.39184766e-02, -2.05640124e-02], [ 7.20862773e-01, -2.75988753e-02, 2.86254864e-02, 2.42730596e+00, 6.70068024e-03, 3.35778984e+00, 9.02472044e-01, -3.21481597e-02, 1.11494201e-03, 1.10908204e+00, -2.26498164e-02, 1.50664428e-01, -7.91852616e-03, -2.39184761e-02, -2.05640184e-02], [ 7.20862723e-01, -2.75988747e-02, 2.86254848e-02, 2.42730595e+00, 6.70067691e-03, 3.35779521e+00, 9.02471973e-01, -3.21481584e-02, 1.11494196e-03, 1.10908204e+00, -2.26498168e-02, 1.50664390e-01, -7.91852332e-03, -2.39184746e-02, -2.05640388e-02], [ 7.20862839e-01, -2.75988753e-02, 2.86254925e-02, 2.42730608e+00, 6.70068777e-03, 3.35778344e+00, 9.02472184e-01, -3.21481604e-02, 1.11494209e-03, 1.10908201e+00, -2.26498160e-02, 1.50664460e-01, -7.91852830e-03, -2.39184804e-02, -2.05639803e-02], [ 7.20862787e-01, -2.75988753e-02, 2.86254872e-02, 2.42730599e+00, 6.70068071e-03, 3.35778925e+00, 9.02472034e-01, -3.21481597e-02, 1.11494201e-03, 1.10908204e+00, -2.26498164e-02, 1.50664431e-01, -7.91852627e-03, -2.39184767e-02, -2.05640149e-02], [ 7.20862746e-01, -2.75988750e-02, 2.86254894e-02, 2.42730592e+00, 6.70068248e-03, 3.35779022e+00, 9.02472010e-01, -3.21481599e-02, 1.11494195e-03, 1.10908206e+00, -2.26498164e-02, 1.50664422e-01, -7.91852520e-03, -2.39184762e-02, -2.05640141e-02], [ 7.20862757e-01, -2.75988752e-02, 2.86254901e-02, 2.42730601e+00, 6.70068417e-03, 3.35778843e+00, 9.02472112e-01, -3.21481604e-02, 1.11494203e-03, 1.10908203e+00, -2.26498165e-02, 1.50664428e-01, -7.91852636e-03, -2.39184764e-02, -2.05640049e-02], [ 7.20862767e-01, -2.75988753e-02, 2.86254869e-02, 2.42730596e+00, 6.70068012e-03, 3.35779059e+00, 9.02472020e-01, -3.21481595e-02, 1.11494201e-03, 1.10908204e+00, -2.26498166e-02, 1.50664420e-01, -7.91852601e-03, -2.39184755e-02, -2.05640221e-02], [ 7.20862753e-01, -2.75988756e-02, 2.86254858e-02, 2.42730595e+00, 6.70067928e-03, 3.35779031e+00, 9.02472023e-01, -3.21481598e-02, 1.11494202e-03, 1.10908205e+00, -2.26498166e-02, 1.50664425e-01, -7.91852670e-03, -2.39184739e-02, -2.05640252e-02], [ 7.20862833e-01, -2.75988756e-02, 2.86254818e-02, 2.42730592e+00, 6.70067724e-03, 3.35778823e+00, 9.02472016e-01, -3.21481603e-02, 1.11494202e-03, 1.10908202e+00, -2.26498161e-02, 1.50664451e-01, -7.91852759e-03, -2.39184769e-02, -2.05640236e-02], [ 7.20862808e-01, -2.75988748e-02, 2.86254943e-02, 2.42730604e+00, 6.70068740e-03, 3.35778608e+00, 9.02472027e-01, -3.21481604e-02, 1.11494204e-03, 1.10908204e+00, -2.26498164e-02, 1.50664441e-01, -7.91852674e-03, -2.39184785e-02, -2.05639910e-02], [ 7.20862770e-01, -2.75988754e-02, 2.86254862e-02, 2.42730597e+00, 6.70067853e-03, 3.35779191e+00, 9.02471995e-01, -3.21481597e-02, 1.11494201e-03, 1.10908204e+00, -2.26498169e-02, 1.50664412e-01, -7.91852491e-03, -2.39184764e-02, -2.05640257e-02], [ 7.20862746e-01, -2.75988746e-02, 2.86254863e-02, 2.42730597e+00, 6.70068134e-03, 3.35778900e+00, 9.02472119e-01, -3.21481612e-02, 1.11494206e-03, 1.10908203e+00, -2.26498167e-02, 1.50664431e-01, -7.91852683e-03, -2.39184748e-02, -2.05640137e-02], [ 7.20862702e-01, -2.75988746e-02, 2.86254855e-02, 2.42730594e+00, 6.70067917e-03, 3.35779057e+00, 9.02472006e-01, -3.21481604e-02, 1.11494202e-03, 1.10908208e+00, -2.26498168e-02, 1.50664427e-01, -7.91852744e-03, -2.39184700e-02, -2.05640297e-02]]), array([0.0063258, 0.0063258, 0.0063258, 0.0063258, 0.0063258, 0.0063258, 0.0063258, 0.0063258, 0.0063258, 0.0063258, 0.0063258, 0.0063258, 0.0063258, 0.0063258, 0.0063258, 0.0063258])) fun: 0.0063257974266551 message: 'Optimization terminated successfully.' nfev: 3334 nit: 2380 status: 0 success: True x: array([ 7.20862703e-01, -2.75988742e-02, 2.86254953e-02, 2.42730609e+00, 6.70068898e-03, 3.35778908e+00, 9.02472133e-01, -3.21481624e-02, 1.11494204e-03, 1.10908201e+00, -2.26498165e-02, 1.50664412e-01, -7.91852427e-03, -2.39184765e-02, -2.05639915e-02])</t>
  </si>
  <si>
    <t xml:space="preserve">'all': {'CustomNonbondedForce': [array([[0.38308644880034587, 2.44764, 'PG2', 0], [0.293996576986312, 0.41840000000000005, 'OG303', 1], [0.30290556416771536, 0.50208, 'OG2P1', 2]], dtype=object), array([[0.31600000000000006, 0.31388368000000005, 'SOD', 'OG2P1', 1]], dtype=object)], 'NonbondedForce': [array([[0, 'PG2', 1.099], [1, 'OG303', -0.399], [2, 'OG2P1', -0.9]], dtype=object)]}, 'mol1': {'NonbondedForce': [array([[0, 'PG2', 1.1, 0.38308644880034587, 2.44764], [1, 'OG303', -0.4, 0.29399657698631193, 0.41840000000000005], [2, 'OG2P1', -0.9, 0.30290556416771536, 0.50208]], dtype=object)]}</t>
  </si>
  <si>
    <t xml:space="preserve">final_simplex: (array([[-0.02385837, 6.26988526, -0.05159689, -0.00865144, -0.05051981, 0.03941298, -0.04901699, -0.04851167, 0.91544765, 0.41468666, 1.47273466], [-0.02385837, 6.26988526, -0.05159689, -0.00865144, -0.05051981, 0.03941298, -0.04901699, -0.04851167, 0.91544765, 0.41468666, 1.47273466], [-0.02385837, 6.26988526, -0.05159689, -0.00865144, -0.05051981, 0.03941298, -0.04901699, -0.04851167, 0.91544765, 0.41468666, 1.47273466], [-0.02385837, 6.26988526, -0.05159689, -0.00865144, -0.05051981, 0.03941298, -0.04901699, -0.04851167, 0.91544765, 0.41468666, 1.47273466], [-0.02385837, 6.26988526, -0.05159689, -0.00865144, -0.05051981, 0.03941298, -0.04901699, -0.04851167, 0.91544765, 0.41468666, 1.47273466], [-0.02385837, 6.26988526, -0.05159689, -0.00865144, -0.05051981, 0.03941298, -0.04901699, -0.04851167, 0.91544765, 0.41468666, 1.47273466], [-0.02385837, 6.26988526, -0.05159689, -0.00865144, -0.05051981, 0.03941298, -0.04901699, -0.04851167, 0.91544765, 0.41468666, 1.47273466], [-0.02385837, 6.26988526, -0.05159689, -0.00865144, -0.05051981, 0.03941298, -0.04901699, -0.04851167, 0.91544765, 0.41468666, 1.47273466], [-0.02385837, 6.26988526, -0.05159689, -0.00865144, -0.05051981, 0.03941298, -0.04901699, -0.04851167, 0.91544765, 0.41468666, 1.47273466], [-0.02385837, 6.26988526, -0.05159689, -0.00865144, -0.05051981, 0.03941298, -0.04901699, -0.04851167, 0.91544765, 0.41468666, 1.47273466], [-0.02385837, 6.26988526, -0.05159689, -0.00865144, -0.05051981, 0.03941298, -0.04901699, -0.04851167, 0.91544765, 0.41468666, 1.47273466], [-0.02385837, 6.26988526, -0.05159689, -0.00865144, -0.05051981, 0.03941298, -0.04901699, -0.04851167, 0.91544765, 0.41468666, 1.47273466]]), array([1.20763173e-02, 1.20773827e-02, 1.20773829e-02, 1.20773830e-02, 1.39924731e+04, 1.39924731e+04, 1.39924731e+04, 1.39924731e+04, 1.39924731e+04, 1.39924735e+04, 1.39924735e+04, 1.39924735e+04])) fun: 0.012076317313923451 message: 'Maximum number of iterations has been exceeded.' nfev: 24841 nit: 10000 status: 2 success: False x: array([-0.02385837, 6.26988526, -0.05159689, -0.00865144, -0.05051981, 0.03941298, -0.04901699, -0.04851167, 0.91544765, 0.41468666, 1.47273466])</t>
  </si>
  <si>
    <t xml:space="preserve">{'method': 'Nelder-Mead', 'options': {'maxiter': 10000}, 'tol': 1e-05, 'bounds': array([[-6.40818460e-02, -1.92245538e-03], [ 5.03211214e-03, 5.03211214e+01], [-1.75420278e-01, -5.26260835e-03], [-3.98987667e-01, -3.98987667e-05], [-1.64286435e-01, -4.92859305e-03], [ 1.69256322e-04, 1.69256322e+00], [-1.47921904e-01, -2.95843809e-02], [-2.33378441e+00, -9.03400418e-03], [ 0.00000000e+00, 4.98370786e+00], [-0.00000000e+00, 2.08296007e+00], [-0.00000000e+00, 3.33519118e+00]])}, adaptive: True, Opti.enforce_constraints = True (extra penalty term)</t>
  </si>
  <si>
    <t xml:space="preserve">scipy local Nelder-Mead
</t>
  </si>
  <si>
    <t xml:space="preserve">final_simplex: (array([[-0.02522325, 6.2338515 , -0.05212151, -0.00812768, -0.05061647, 0.04128336, -0.04652821, -0.04829131, 0.92214136, 0.41921684, 1.49954198], [-0.02522325, 6.2338515 , -0.05212151, -0.00812768, -0.05061647, 0.04128336, -0.04652821, -0.04829131, 0.92214136, 0.41921684, 1.49954198], [-0.02522325, 6.2338515 , -0.05212151, -0.00812768, -0.05061647, 0.04128336, -0.04652821, -0.04829131, 0.92214136, 0.41921684, 1.49954198], [-0.02522325, 6.2338515 , -0.05212151, -0.00812768, -0.05061647, 0.04128336, -0.04652821, -0.04829131, 0.92214136, 0.41921684, 1.49954198], [-0.02522325, 6.2338515 , -0.05212151, -0.00812768, -0.05061647, 0.04128336, -0.04652821, -0.04829131, 0.92214136, 0.41921684, 1.49954198], [-0.02522325, 6.2338515 , -0.05212151, -0.00812768, -0.05061647, 0.04128336, -0.04652821, -0.04829131, 0.92214136, 0.41921684, 1.49954198], [-0.02522325, 6.2338515 , -0.05212151, -0.00812768, -0.05061647, 0.04128336, -0.04652821, -0.04829131, 0.92214136, 0.41921684, 1.49954198], [-0.02522325, 6.2338515 , -0.05212151, -0.00812768, -0.05061647, 0.04128336, -0.04652821, -0.04829131, 0.92214136, 0.41921684, 1.49954198], [-0.02522325, 6.2338515 , -0.05212151, -0.00812768, -0.05061647, 0.04128336, -0.04652821, -0.04829131, 0.92214136, 0.41921684, 1.49954198], [-0.02522325, 6.2338515 , -0.05212151, -0.00812768, -0.05061647, 0.04128336, -0.04652821, -0.04829131, 0.92214136, 0.41921684, 1.49954198], [-0.02522325, 6.2338515 , -0.05212151, -0.00812768, -0.05061647, 0.04128336, -0.04652821, -0.04829131, 0.92214136, 0.41921684, 1.49954198], [-0.02522325, 6.2338515 , -0.05212151, -0.00812768, -0.05061647, 0.04128336, -0.04652821, -0.04829131, 0.92214136, 0.41921684, 1.49954198]]), array([1.03861761e-02, 1.04127342e-02, 1.04127343e-02, 1.04127343e-02, 1.04127343e-02, 1.04127343e-02, 2.72252195e+05, 2.72252195e+05, 2.72252195e+05, 2.72252195e+05, 2.72252229e+05, 2.72252229e+05])) fun: 0.010386176148739388 message: 'Maximum number of iterations has been exceeded.' nfev: 25103 nit: 10000 status: 2 success: False x: array([-0.02522325, 6.2338515 , -0.05212151, -0.00812768, -0.05061647, 0.04128336, -0.04652821, -0.04829131, 0.92214136, 0.41921684, 1.49954198])</t>
  </si>
  <si>
    <t xml:space="preserve">{'all': {'CustomNonbondedForce': [array([[0.38308644880034587, 2.44764, 'PG2', 0], [0.293996576986312, 0.41840000000000005, 'OG303', 1], [0.30290556416771536, 0.50208, 'OG2P1', 2]], dtype=object), array([[0.31600000000000006, 0.31388368000000005, 'SOD', 'OG2P1', 1]], dtype=object)], 'NonbondedForce': [array([[0, 'PG2', 1.099], [1, 'OG303', -0.399], [2, 'OG2P1', -0.9]], dtype=object)]}, 'mol1': {'CustomNonbondedForce': [array([[0.38308644880034587, 2.44764, 'PG2', 0], [0.293996576986312, 0.41840000000000005, 'OG303', 1], [0.30290556416771536, 0.50208, 'OG2P1', 2]], dtype=object), array([[0.31600000000000006, 0.31388368000000005, 'SOD', 'OG2P1', 1]], dtype=object)], 'NonbondedForce': [array([[0, 'PG2', 1.099], [1, 'OG303', -0.399], [2, 'OG2P1', -0.9]], dtype=object)]}, 'mol2': {'CustomNonbondedForce': [array([[0.38308644880034587, 2.44764, 'PG2', 0], [0.293996576986312, 0.41840000000000005, 'OG303', 1], [0.30290556416771536, 0.50208, 'OG2P1', 2]], dtype=object), array([[0.31600000000000006, 0.31388368000000005, 'SOD', 'OG2P1', 1]], dtype=object)], 'NonbondedForce': [array([[0, 'PG2', 1.099], [1, 'OG303', -0.399], [2, 'OG2P1', -0.9]], dtype=object)]}}</t>
  </si>
  <si>
    <t xml:space="preserve">final_simplex: (array([[-2.12781972e-03, 5.59585704e+00, -5.87440323e-02, -1.08723084e-02, -7.21049513e-02, 6.21399796e-02, -3.20701412e-02, -4.63477973e-02, 7.75578353e-01, 4.96090310e-01, 1.81325743e+00], [-2.12781972e-03, 5.59585704e+00, -5.87440323e-02, -1.08723084e-02, -7.21049513e-02, 6.21399796e-02, -3.20701412e-02, -4.63477973e-02, 7.75578353e-01, 4.96090310e-01, 1.81325743e+00], [-2.12781972e-03, 5.59585704e+00, -5.87440323e-02, -1.08723084e-02, -7.21049513e-02, 6.21399796e-02, -3.20701412e-02, -4.63477973e-02, 7.75578353e-01, 4.96090310e-01, 1.81325743e+00], [-2.12781972e-03, 5.59585704e+00, -5.87440323e-02, -1.08723084e-02, -7.21049513e-02, 6.21399796e-02, -3.20701412e-02, -4.63477973e-02, 7.75578353e-01, 4.96090310e-01, 1.81325743e+00], [-2.12781972e-03, 5.59585704e+00, -5.87440323e-02, -1.08723084e-02, -7.21049513e-02, 6.21399796e-02, -3.20701412e-02, -4.63477973e-02, 7.75578353e-01, 4.96090310e-01, 1.81325743e+00], [-2.12781972e-03, 5.59585704e+00, -5.87440323e-02, -1.08723084e-02, -7.21049513e-02, 6.21399796e-02, -3.20701412e-02, -4.63477973e-02, 7.75578353e-01, 4.96090310e-01, 1.81325743e+00], [-2.12781972e-03, 5.59585704e+00, -5.87440323e-02, -1.08723084e-02, -7.21049513e-02, 6.21399796e-02, -3.20701412e-02, -4.63477973e-02, 7.75578353e-01, 4.96090310e-01, 1.81325743e+00], [-2.12781972e-03, 5.59585704e+00, -5.87440323e-02, -1.08723084e-02, -7.21049513e-02, 6.21399796e-02, -3.20701412e-02, -4.63477973e-02, 7.75578353e-01, 4.96090310e-01, 1.81325743e+00], [-2.12781972e-03, 5.59585704e+00, -5.87440323e-02, -1.08723084e-02, -7.21049513e-02, 6.21399796e-02, -3.20701412e-02, -4.63477973e-02, 7.75578353e-01, 4.96090310e-01, 1.81325743e+00], [-2.12781972e-03, 5.59585704e+00, -5.87440323e-02, -1.08723084e-02, -7.21049513e-02, 6.21399796e-02, -3.20701412e-02, -4.63477973e-02, 7.75578353e-01, 4.96090310e-01, 1.81325743e+00], [-2.12781972e-03, 5.59585704e+00, -5.87440323e-02, -1.08723084e-02, -7.21049513e-02, 6.21399796e-02, -3.20701412e-02, -4.63477973e-02, 7.75578353e-01, 4.96090310e-01, 1.81325743e+00], [-2.12781972e-03, 5.59585704e+00, -5.87440323e-02, -1.08723084e-02, -7.21049513e-02, 6.21399796e-02, -3.20701412e-02, -4.63477973e-02, 7.75578353e-01, 4.96090310e-01, 1.81325743e+00]]), array([ 70919.28429201, 137022.64281598, 191154.24095485, 191154.24095487, 191154.24095488, 191154.2409839 , 214804.21578518, 214804.2157852 , 230806.55624924, 230806.5562493 , 230806.55624933, 230806.55626542])) fun: 70919.28429200605 message: 'Maximum number of iterations has been exceeded.' nfev: 29903 nit: 10000 status: 2 success: False x: array([-2.12781972e-03, 5.59585704e+00, -5.87440323e-02, -1.08723084e-02, -7.21049513e-02, 6.21399796e-02, -3.20701412e-02, -4.63477973e-02, 7.75578353e-01, 4.96090310e-01, 1.81325743e+00])</t>
  </si>
  <si>
    <t xml:space="preserve">{'method': 'Nelder-Mead', 'options': {'maxiter': 10000}, 'tol': 1e-05, 'bounds': array([[-6.40818460e-02, -1.92245538e-03], [ 5.03211214e-03, 5.03211214e+01], [-1.75420278e-01, -5.26260835e-03], [-3.98987667e-01, -3.98987667e-05], [-1.64286435e-01, -4.92859305e-03], [ 1.69256322e-04, 1.69256322e+00], [-1.47921904e-01, -2.95843809e-02], [-2.33378441e+00, -9.03400418e-03], [ 0.00000000e+00, 4.98370786e+00], [-0.00000000e+00, 2.08296007e+00], [-0.00000000e+00, 3.33519118e+00]])}, adaptive=True, extra penalty term</t>
  </si>
  <si>
    <t xml:space="preserve">Frames 0,3 not dumped</t>
  </si>
  <si>
    <t xml:space="preserve">final_simplex: (array([[-0.02352363, 6.23636168, -0.05153438, -0.00844866, -0.04944339, 0.04397749, -0.0481493 , -0.04872237, 0.91987916, 0.42038603, 1.51459207], [-0.02352363, 6.23636168, -0.05153438, -0.00844866, -0.04944339, 0.04397749, -0.0481493 , -0.04872237, 0.91987916, 0.42038603, 1.51459207], [-0.02352363, 6.23636168, -0.05153438, -0.00844866, -0.04944339, 0.04397749, -0.0481493 , -0.04872237, 0.91987916, 0.42038603, 1.51459207], [-0.02352363, 6.23636168, -0.05153438, -0.00844866, -0.04944339, 0.04397749, -0.0481493 , -0.04872237, 0.91987916, 0.42038603, 1.51459207], [-0.02352363, 6.23636168, -0.05153438, -0.00844866, -0.04944339, 0.04397749, -0.0481493 , -0.04872237, 0.91987916, 0.42038603, 1.51459207], [-0.02352363, 6.23636168, -0.05153438, -0.00844866, -0.04944339, 0.04397749, -0.0481493 , -0.04872237, 0.91987916, 0.42038603, 1.51459207], [-0.02352363, 6.23636168, -0.05153438, -0.00844866, -0.04944339, 0.04397749, -0.0481493 , -0.04872237, 0.91987916, 0.42038603, 1.51459207], [-0.02352363, 6.23636168, -0.05153438, -0.00844866, -0.04944339, 0.04397749, -0.0481493 , -0.04872237, 0.91987916, 0.42038603, 1.51459207], [-0.02352363, 6.23636168, -0.05153438, -0.00844866, -0.04944339, 0.04397749, -0.0481493 , -0.04872237, 0.91987916, 0.42038603, 1.51459207], [-0.02352363, 6.23636168, -0.05153438, -0.00844866, -0.04944339, 0.04397749, -0.0481493 , -0.04872237, 0.91987916, 0.42038603, 1.51459207], [-0.02352363, 6.23636168, -0.05153438, -0.00844866, -0.04944339, 0.04397749, -0.0481493 , -0.04872237, 0.91987916, 0.42038603, 1.51459207], [-0.02352363, 6.23636168, -0.05153438, -0.00844866, -0.04944339, 0.04397749, -0.0481493 , -0.04872237, 0.91987916, 0.42038603, 1.51459207]]), array([ 66095.78999775, 86663.52505272, 86663.52505272, 86663.52505372, 86663.52519538, 127482.38265611, 127482.38265611, 127482.38276504, 127482.38329336, 168180.60982277, 188572.28475174, 188572.2858115 ])) fun: 66095.78999774625 message: 'Maximum number of iterations has been exceeded.' nfev: 27121 nit: 10000 status: 2 success: False x: array([-0.02352363, 6.23636168, -0.05153438, -0.00844866, -0.04944339, 0.04397749, -0.0481493 , -0.04872237, 0.91987916, 0.42038603, 1.51459207])</t>
  </si>
  <si>
    <t xml:space="preserve">Frames 0,3 dumped</t>
  </si>
  <si>
    <t xml:space="preserve">{'all': {'NonbondedForce': [array([[0, 'PG2', 1.099, 0.38308644880034587, 2.44764], [1, 'OG303', -0.399, 0.29399657698631193, 0.41840000000000005], [2, 'OG2P1', -0.9, 0.30290556416771536, 0.50208]], dtype=object)]}, 'mol1': {'NonbondedForce': [array([[0, 'PG2', 1.099, 0.38308644880034587, 2.44764], [1, 'OG303', -0.399, 0.29399657698631193, 0.41840000000000005], [2, 'OG2P1', -0.9, 0.30290556416771536, 0.50208]], dtype=object)]}</t>
  </si>
  <si>
    <t xml:space="preserve">{'all': {'NonbondedForce': [array([[0, 'PG2', 1.4791865428309443, 0.030202954529675956, 4.776929917392559], [1, 'OG303', -0.6247667956378391, 0.35949071254290094, 0.0296761940770147], [2, 'OG2P1', -0.5697680190196596, 0.03069264494376563, 0.002]], dtype=object)]}, 'mol1': {'NonbondedForce': [array([[0, 'PG2', 1.4791865428309443, 0.030202954529675956, 4.776929917392559], [1, 'OG303', -0.6247667956378391, 0.35949071254290094, 0.0296761940770147], [2, 'OG2P1', -0.5697680190196596, 0.03069264494376563, 0.002]], dtype=object)]}}</t>
  </si>
  <si>
    <t xml:space="preserve">final_simplex: (array([[ 1.06962170e+00, -2.66335595e-03, 1.07549556e+01, 6.08815116e-01, -6.79946124e-02, -1.42931873e-03, 8.78706376e-01, -5.49538304e-03, 9.33309132e-05], [ 1.06962192e+00, -2.66335593e-03, 1.07549550e+01, 6.08815335e-01, -6.79946077e-02, -1.42931968e-03, 8.78706303e-01, -5.49538226e-03, 9.33309132e-05], [ 1.06962164e+00, -2.66335558e-03, 1.07549488e+01, 6.08815266e-01, -6.79945814e-02, -1.42932370e-03, 8.78706145e-01, -5.49538195e-03, 9.33309132e-05], [ 1.06962168e+00, -2.66335589e-03, 1.07549510e+01, 6.08815137e-01, -6.79945985e-02, -1.42932377e-03, 8.78706353e-01, -5.49538275e-03, 9.33309132e-05], [ 1.06962173e+00, -2.66335586e-03, 1.07549463e+01, 6.08815226e-01, -6.79945847e-02, -1.42933255e-03, 8.78706284e-01, -5.49538230e-03, 9.33309132e-05], [ 1.06962190e+00, -2.66335608e-03, 1.07549635e+01, 6.08815379e-01, -6.79946347e-02, -1.42930900e-03, 8.78706482e-01, -5.49538311e-03, 9.33309132e-05], [ 1.06962180e+00, -2.66335598e-03, 1.07549545e+01, 6.08815049e-01, -6.79946080e-02, -1.42931764e-03, 8.78706301e-01, -5.49538213e-03, 9.33309132e-05], [ 1.06962175e+00, -2.66335606e-03, 1.07549597e+01, 6.08815213e-01, -6.79946227e-02, -1.42930908e-03, 8.78706380e-01, -5.49538250e-03, 9.33309132e-05], [ 1.06962166e+00, -2.66335593e-03, 1.07549635e+01, 6.08815214e-01, -6.79946278e-02, -1.42930518e-03, 8.78706352e-01, -5.49538303e-03, 9.33309132e-05], [ 1.06962173e+00, -2.66335576e-03, 1.07549487e+01, 6.08815168e-01, -6.79945870e-02, -1.42932556e-03, 8.78706281e-01, -5.49538216e-03, 9.33309132e-05]]), array([0.01885611, 0.01885653, 0.01885653, 0.01885653, 0.01885653, 0.01885653, 0.01885662, 0.01885662, 0.01885662, 0.01885662])) fun: 0.018856108794815692 message: 'Optimization terminated successfully.' nfev: 772 nit: 461 status: 0 success: True x: array([ 1.06962170e+00, -2.66335595e-03, 1.07549556e+01, 6.08815116e-01, -6.79946124e-02, -1.42931873e-03, 8.78706376e-01, -5.49538304e-03, 9.33309132e-05])</t>
  </si>
  <si>
    <t xml:space="preserve">{'method': 'Nelder-Mead', 'options': {'maxiter': 10000}, 'tol': 1e-05, 'bounds': array([[ 0.00000000e+00, 4.33868968e+00], [-8.81819718e-02, -2.64545915e-03], [ 4.50287681e-03, 4.50287681e+01], [-0.00000000e+00, 1.94893641e+00], [-1.89141562e-01, -5.67424685e-03], [-9.63269749e-01, -9.63269749e-05], [-0.00000000e+00, 3.08443596e+00], [-1.79045603e-01, -5.37136808e-03], [ 9.33309132e-05, 9.33309132e-01]])}, adaptive: True, Opti.enforce_constraints = True (extra penalty term)</t>
  </si>
  <si>
    <t xml:space="preserve">not tested yet</t>
  </si>
  <si>
    <t xml:space="preserve">Frames 6,7,9,11,12,15,16,17,18,21,22,25,26,27,31,37,41,43,45,47,48,49 have not been dumped</t>
  </si>
  <si>
    <t xml:space="preserve">{'all': {'NonbondedForce': [array([[0, 'PG2', 1.3981788846729686, 0.03000000143286889, 6.260920202153965], [1, 'OG303', 0.0, 0.27813839576442684, 0.6584430020597645], [2, 'OG2P1', -0.634788913410061, 0.032581151008694846, 0.002]], dtype=object)]}, 'mol1': {'NonbondedForce': [array([[0, 'PG2', 1.3981788846729686, 0.03000000143286889, 6.260920202153965], [1, 'OG303', 0.0, 0.27813839576442684, 0.6584430020597645], [2, 'OG2P1', -0.634788913410061, 0.032581151008694846, 0.002]], dtype=object)]}}</t>
  </si>
  <si>
    <t xml:space="preserve">final_simplex: (array([[ 1.01104416e+00, -2.64545915e-03, 1.40960778e+01, -0.00000000e+00, -5.26075300e-02, -3.17129176e-02, 9.78982712e-01, -5.83351203e-03, 9.33309132e-05], [ 1.01104418e+00, -2.64545930e-03, 1.40960850e+01, -0.00000000e+00, -5.26075465e-02, -3.17129351e-02, 9.78982580e-01, -5.83351242e-03, 9.33309132e-05], [ 1.01104425e+00, -2.64545927e-03, 1.40960829e+01, -0.00000000e+00, -5.26075597e-02, -3.17129213e-02, 9.78982621e-01, -5.83351213e-03, 9.33309132e-05], [ 1.01104425e+00, -2.64545918e-03, 1.40960812e+01, -0.00000000e+00, -5.26075498e-02, -3.17129197e-02, 9.78982662e-01, -5.83351196e-03, 9.33309132e-05], [ 1.01104430e+00, -2.64545921e-03, 1.40960858e+01, -0.00000000e+00, -5.26075217e-02, -3.17129339e-02, 9.78982593e-01, -5.83351240e-03, 9.33309132e-05], [ 1.01104441e+00, -2.64545936e-03, 1.40960835e+01, -0.00000000e+00, -5.26075421e-02, -3.17129223e-02, 9.78982658e-01, -5.83351198e-03, 9.33309132e-05], [ 1.01104416e+00, -2.64545933e-03, 1.40960855e+01, -0.00000000e+00, -5.26075250e-02, -3.17129166e-02, 9.78982679e-01, -5.83351217e-03, 9.33309132e-05], [ 1.01104403e+00, -2.64545933e-03, 1.40960785e+01, -0.00000000e+00, -5.26075367e-02, -3.17129138e-02, 9.78982936e-01, -5.83351188e-03, 9.33309132e-05], [ 1.01104405e+00, -2.64545928e-03, 1.40960762e+01, -0.00000000e+00, -5.26075305e-02, -3.17129113e-02, 9.78982875e-01, -5.83351181e-03, 9.33309132e-05], [ 1.01104429e+00, -2.64545930e-03, 1.40960814e+01, -0.00000000e+00, -5.26075727e-02, -3.17129305e-02, 9.78982607e-01, -5.83351219e-03, 9.33309132e-05]]), array([0.0178902 , 0.01789056, 0.01789057, 0.01789057, 0.01789057, 0.01789061, 0.01789072, 0.01789072, 0.01789072, 0.0178908 ])) fun: 0.017890199876231777 message: 'Optimization terminated successfully.' nfev: 595 nit: 346 status: 0 success: True x: array([ 1.01104416e+00, -2.64545915e-03, 1.40960778e+01, -0.00000000e+00, -5.26075300e-02, -3.17129176e-02, 9.78982712e-01, -5.83351203e-03, 9.33309132e-05])</t>
  </si>
  <si>
    <t xml:space="preserve">{'all': {'NonbondedForce': [array([[0, 'PG2', 1.7792374826861006, 0.05572762521558774, 7.990200869489628], [1, 'OG303', -0.6529021651337062, 0.5695578177058144, 0.0020092004186105525], [2, 'OG2P1', -0.6617875213493657, 0.28480162676676263, 1.3867718260958903]], dtype=object)]}, 'mol1': {'NonbondedForce': [array([[0, 'PG2', 1.7792374826861006, 0.05572762521558774, 7.990200869489628], [1, 'OG303', -0.6529021651337062, 0.5695578177058144, 0.0020092004186105525], [2, 'OG2P1', -0.6617875213493657, 0.28480162676676263, 1.3867718260958903]], dtype=object)]}}</t>
  </si>
  <si>
    <t xml:space="preserve">Frames 6,7,9,11,12,15,16,17,18,21,22,25,26,27,31,37,41,43,45,47,48,49 dumped</t>
  </si>
  <si>
    <t xml:space="preserve">{'all': {'NonbondedForce': [array([[0, 'PG2', 1.7198450239424448, 0.26713463262123643, 11.471562073060582], [1, 'OG303', -0.6162034053208543, 0.40194043092964515, 1.098949532307649], [2, 'OG2P1', -0.6460165295805733, 0.2784550188447739, 1.9988804652651129]], dtype=object)]}, 'mol1': {'NonbondedForce': [array([[0, 'PG2', 1.7198450239424448, 0.26713463262123643, 11.471562073060582], [1, 'OG303', -0.6162034053208543, 0.40194043092964515, 1.098949532307649], [2, 'OG2P1', -0.6460165295805733, 0.2784550188447739, 1.9988804652651129]], dtype=object)]}}</t>
  </si>
  <si>
    <t xml:space="preserve">final_simplex: (array([[ 1.24364566e+00, -2.35564595e-02, 2.58275174e+01, 6.00470700e-01, -7.60236478e-02, -5.29292465e-02, 9.96298282e-01, -4.98561453e-02, 9.32786779e-02], [ 1.24364565e+00, -2.35564544e-02, 2.58275127e+01, 6.00470729e-01, -7.60236364e-02, -5.29292395e-02, 9.96298329e-01, -4.98561462e-02, 9.32786641e-02], [ 1.24364567e+00, -2.35564611e-02, 2.58275172e+01, 6.00470663e-01, -7.60236403e-02, -5.29292449e-02, 9.96298245e-01, -4.98561463e-02, 9.32786765e-02], [ 1.24364562e+00, -2.35564580e-02, 2.58275134e+01, 6.00470528e-01, -7.60236396e-02, -5.29292374e-02, 9.96298280e-01, -4.98561473e-02, 9.32786605e-02], [ 1.24364563e+00, -2.35564577e-02, 2.58275151e+01, 6.00470701e-01, -7.60236360e-02, -5.29292426e-02, 9.96298270e-01, -4.98561455e-02, 9.32786709e-02], [ 1.24364562e+00, -2.35564549e-02, 2.58275120e+01, 6.00470680e-01, -7.60236374e-02, -5.29292382e-02, 9.96298255e-01, -4.98561465e-02, 9.32786613e-02], [ 1.24364562e+00, -2.35564531e-02, 2.58275112e+01, 6.00470709e-01, -7.60236357e-02, -5.29292371e-02, 9.96298276e-01, -4.98561459e-02, 9.32786590e-02], [ 1.24364564e+00, -2.35564642e-02, 2.58275201e+01, 6.00470688e-01, -7.60236398e-02, -5.29292504e-02, 9.96298235e-01, -4.98561458e-02, 9.32786874e-02], [ 1.24364565e+00, -2.35564586e-02, 2.58275168e+01, 6.00470779e-01, -7.60236316e-02, -5.29292459e-02, 9.96298301e-01, -4.98561455e-02, 9.32786782e-02], [ 1.24364564e+00, -2.35564586e-02, 2.58275154e+01, 6.00470627e-01, -7.60236407e-02, -5.29292420e-02, 9.96298306e-01, -4.98561466e-02, 9.32786696e-02]]), array([0.0112973, 0.0112973, 0.0112973, 0.0112973, 0.0112973, 0.0112973, 0.0112973, 0.0112973, 0.0112973, 0.0112973])) fun: 0.011297296536080633 message: 'Optimization terminated successfully.' nfev: 1421 nit: 906 status: 0 success: True x: array([ 1.24364566e+00, -2.35564595e-02, 2.58275174e+01, 6.00470700e-01, -7.60236478e-02, -5.29292465e-02, 9.96298282e-01, -4.98561453e-02, 9.32786779e-02])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</si>
</sst>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E+00"/>
    <numFmt numFmtId="166" formatCode="&quot;TRUE&quot;;&quot;TRUE&quot;;&quot;FALSE&quot;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A24" activeCellId="0" sqref="A24"/>
    </sheetView>
  </sheetViews>
  <sheetFormatPr defaultColWidth="10.6171875" defaultRowHeight="15" zeroHeight="false" outlineLevelRow="0" outlineLevelCol="0"/>
  <cols>
    <col collapsed="false" customWidth="true" hidden="false" outlineLevel="0" max="1" min="1" style="0" width="23.57"/>
    <col collapsed="false" customWidth="true" hidden="false" outlineLevel="0" max="3" min="3" style="0" width="7.7"/>
    <col collapsed="false" customWidth="true" hidden="false" outlineLevel="0" max="4" min="4" style="0" width="11.14"/>
    <col collapsed="false" customWidth="true" hidden="false" outlineLevel="0" max="5" min="5" style="0" width="73.14"/>
    <col collapsed="false" customWidth="true" hidden="false" outlineLevel="0" max="6" min="6" style="0" width="123.72"/>
    <col collapsed="false" customWidth="true" hidden="false" outlineLevel="0" max="7" min="7" style="0" width="137.85"/>
  </cols>
  <sheetData>
    <row r="1" customFormat="false" ht="15" hidden="false" customHeight="false" outlineLevel="0" collapsed="false">
      <c r="A1" s="0" t="s">
        <v>0</v>
      </c>
      <c r="E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</row>
    <row r="3" customFormat="false" ht="180" hidden="false" customHeight="false" outlineLevel="0" collapsed="false">
      <c r="A3" s="0" t="s">
        <v>9</v>
      </c>
      <c r="B3" s="1" t="n">
        <v>1E-008</v>
      </c>
      <c r="C3" s="0" t="s">
        <v>10</v>
      </c>
      <c r="E3" s="2" t="s">
        <v>11</v>
      </c>
    </row>
    <row r="4" customFormat="false" ht="15" hidden="false" customHeight="false" outlineLevel="0" collapsed="false">
      <c r="B4" s="1" t="n">
        <v>1E-005</v>
      </c>
      <c r="C4" s="0" t="s">
        <v>10</v>
      </c>
    </row>
    <row r="5" customFormat="false" ht="15" hidden="false" customHeight="false" outlineLevel="0" collapsed="false">
      <c r="B5" s="1" t="n">
        <v>0.001</v>
      </c>
      <c r="C5" s="0" t="s">
        <v>10</v>
      </c>
    </row>
    <row r="6" customFormat="false" ht="409.5" hidden="false" customHeight="false" outlineLevel="0" collapsed="false">
      <c r="A6" s="0" t="s">
        <v>12</v>
      </c>
      <c r="B6" s="1" t="n">
        <v>1E-008</v>
      </c>
      <c r="C6" s="0" t="s">
        <v>13</v>
      </c>
      <c r="D6" s="0" t="n">
        <v>3829</v>
      </c>
      <c r="F6" s="2" t="s">
        <v>14</v>
      </c>
      <c r="G6" s="2" t="s">
        <v>15</v>
      </c>
    </row>
    <row r="7" customFormat="false" ht="409.5" hidden="false" customHeight="false" outlineLevel="0" collapsed="false">
      <c r="B7" s="1" t="n">
        <v>1E-005</v>
      </c>
      <c r="C7" s="0" t="s">
        <v>13</v>
      </c>
      <c r="D7" s="0" t="n">
        <v>1193</v>
      </c>
      <c r="F7" s="2" t="s">
        <v>16</v>
      </c>
      <c r="G7" s="2" t="s">
        <v>17</v>
      </c>
    </row>
    <row r="8" customFormat="false" ht="409.5" hidden="false" customHeight="false" outlineLevel="0" collapsed="false">
      <c r="B8" s="1" t="n">
        <v>0.001</v>
      </c>
      <c r="C8" s="0" t="s">
        <v>13</v>
      </c>
      <c r="D8" s="0" t="n">
        <v>1071</v>
      </c>
      <c r="F8" s="2" t="s">
        <v>18</v>
      </c>
      <c r="G8" s="2" t="s">
        <v>19</v>
      </c>
    </row>
    <row r="9" customFormat="false" ht="270" hidden="false" customHeight="false" outlineLevel="0" collapsed="false">
      <c r="A9" s="0" t="s">
        <v>20</v>
      </c>
      <c r="B9" s="1" t="n">
        <v>1E-008</v>
      </c>
      <c r="C9" s="0" t="s">
        <v>10</v>
      </c>
      <c r="D9" s="0" t="n">
        <v>50</v>
      </c>
      <c r="F9" s="2" t="s">
        <v>21</v>
      </c>
      <c r="G9" s="2" t="s">
        <v>22</v>
      </c>
    </row>
    <row r="10" customFormat="false" ht="270" hidden="false" customHeight="false" outlineLevel="0" collapsed="false">
      <c r="B10" s="1" t="n">
        <v>1E-005</v>
      </c>
      <c r="C10" s="0" t="s">
        <v>10</v>
      </c>
      <c r="D10" s="0" t="n">
        <v>60</v>
      </c>
      <c r="F10" s="2" t="s">
        <v>23</v>
      </c>
      <c r="G10" s="2" t="s">
        <v>24</v>
      </c>
    </row>
    <row r="11" customFormat="false" ht="270" hidden="false" customHeight="false" outlineLevel="0" collapsed="false">
      <c r="B11" s="1" t="n">
        <v>0.001</v>
      </c>
      <c r="C11" s="0" t="s">
        <v>10</v>
      </c>
      <c r="D11" s="0" t="n">
        <v>320</v>
      </c>
      <c r="F11" s="2" t="s">
        <v>25</v>
      </c>
      <c r="G11" s="2" t="s">
        <v>26</v>
      </c>
    </row>
    <row r="12" customFormat="false" ht="270" hidden="false" customHeight="false" outlineLevel="0" collapsed="false">
      <c r="A12" s="0" t="s">
        <v>27</v>
      </c>
      <c r="B12" s="1" t="n">
        <v>1E-008</v>
      </c>
      <c r="C12" s="0" t="s">
        <v>10</v>
      </c>
      <c r="D12" s="0" t="n">
        <v>87</v>
      </c>
      <c r="F12" s="2" t="s">
        <v>28</v>
      </c>
      <c r="G12" s="2" t="s">
        <v>29</v>
      </c>
    </row>
    <row r="13" customFormat="false" ht="270" hidden="false" customHeight="false" outlineLevel="0" collapsed="false">
      <c r="B13" s="1" t="n">
        <v>1E-005</v>
      </c>
      <c r="C13" s="0" t="s">
        <v>10</v>
      </c>
      <c r="D13" s="0" t="n">
        <v>34</v>
      </c>
      <c r="F13" s="2" t="s">
        <v>30</v>
      </c>
      <c r="G13" s="2" t="s">
        <v>31</v>
      </c>
    </row>
    <row r="14" customFormat="false" ht="270" hidden="false" customHeight="false" outlineLevel="0" collapsed="false">
      <c r="B14" s="1" t="n">
        <v>0.001</v>
      </c>
      <c r="C14" s="0" t="s">
        <v>10</v>
      </c>
      <c r="D14" s="0" t="n">
        <v>13</v>
      </c>
      <c r="F14" s="2" t="s">
        <v>32</v>
      </c>
      <c r="G14" s="2" t="s">
        <v>33</v>
      </c>
    </row>
    <row r="15" customFormat="false" ht="180" hidden="false" customHeight="false" outlineLevel="0" collapsed="false">
      <c r="A15" s="0" t="s">
        <v>34</v>
      </c>
      <c r="B15" s="1" t="n">
        <v>1E-008</v>
      </c>
      <c r="C15" s="0" t="s">
        <v>35</v>
      </c>
      <c r="D15" s="0" t="n">
        <v>70</v>
      </c>
      <c r="F15" s="2" t="s">
        <v>36</v>
      </c>
      <c r="G15" s="2" t="s">
        <v>37</v>
      </c>
    </row>
    <row r="16" customFormat="false" ht="180" hidden="false" customHeight="false" outlineLevel="0" collapsed="false">
      <c r="B16" s="1" t="n">
        <v>1E-005</v>
      </c>
      <c r="C16" s="0" t="s">
        <v>35</v>
      </c>
      <c r="D16" s="0" t="n">
        <v>30</v>
      </c>
      <c r="F16" s="2" t="s">
        <v>36</v>
      </c>
      <c r="G16" s="2" t="s">
        <v>38</v>
      </c>
    </row>
    <row r="17" customFormat="false" ht="180" hidden="false" customHeight="false" outlineLevel="0" collapsed="false">
      <c r="B17" s="1" t="n">
        <v>0.001</v>
      </c>
      <c r="C17" s="0" t="s">
        <v>35</v>
      </c>
      <c r="D17" s="0" t="n">
        <v>30</v>
      </c>
      <c r="F17" s="2" t="s">
        <v>36</v>
      </c>
      <c r="G17" s="2" t="s">
        <v>39</v>
      </c>
    </row>
    <row r="18" customFormat="false" ht="471.6" hidden="false" customHeight="false" outlineLevel="0" collapsed="false">
      <c r="A18" s="3" t="s">
        <v>40</v>
      </c>
      <c r="B18" s="4" t="n">
        <v>1E-008</v>
      </c>
      <c r="C18" s="3" t="s">
        <v>13</v>
      </c>
      <c r="D18" s="3" t="n">
        <v>7912</v>
      </c>
      <c r="F18" s="2" t="s">
        <v>41</v>
      </c>
      <c r="G18" s="2" t="s">
        <v>42</v>
      </c>
    </row>
    <row r="19" customFormat="false" ht="471.6" hidden="false" customHeight="false" outlineLevel="0" collapsed="false">
      <c r="B19" s="4" t="n">
        <v>1E-005</v>
      </c>
      <c r="C19" s="3" t="s">
        <v>43</v>
      </c>
      <c r="D19" s="3" t="n">
        <v>2733</v>
      </c>
      <c r="F19" s="2" t="s">
        <v>44</v>
      </c>
      <c r="G19" s="2" t="s">
        <v>45</v>
      </c>
    </row>
    <row r="20" customFormat="false" ht="471.6" hidden="false" customHeight="false" outlineLevel="0" collapsed="false">
      <c r="A20" s="3"/>
      <c r="B20" s="4" t="n">
        <v>0.001</v>
      </c>
      <c r="C20" s="3" t="s">
        <v>13</v>
      </c>
      <c r="D20" s="3" t="n">
        <v>638</v>
      </c>
      <c r="F20" s="2" t="s">
        <v>46</v>
      </c>
      <c r="G20" s="2" t="s">
        <v>47</v>
      </c>
    </row>
    <row r="21" customFormat="false" ht="15" hidden="false" customHeight="false" outlineLevel="0" collapsed="false">
      <c r="A21" s="0" t="s">
        <v>48</v>
      </c>
      <c r="B21" s="1" t="n">
        <v>1E-008</v>
      </c>
      <c r="C21" s="0" t="s">
        <v>35</v>
      </c>
      <c r="D21" s="0" t="n">
        <v>282</v>
      </c>
      <c r="G21" s="2"/>
    </row>
    <row r="22" customFormat="false" ht="15" hidden="false" customHeight="false" outlineLevel="0" collapsed="false">
      <c r="B22" s="1" t="n">
        <v>1E-005</v>
      </c>
      <c r="C22" s="0" t="s">
        <v>35</v>
      </c>
      <c r="D22" s="0" t="n">
        <v>292</v>
      </c>
      <c r="G22" s="2"/>
    </row>
    <row r="23" customFormat="false" ht="165" hidden="false" customHeight="false" outlineLevel="0" collapsed="false">
      <c r="B23" s="1" t="n">
        <v>0.001</v>
      </c>
      <c r="C23" s="0" t="s">
        <v>35</v>
      </c>
      <c r="D23" s="0" t="n">
        <v>701</v>
      </c>
      <c r="G23" s="2" t="s">
        <v>49</v>
      </c>
    </row>
    <row r="24" customFormat="false" ht="270" hidden="false" customHeight="false" outlineLevel="0" collapsed="false">
      <c r="A24" s="0" t="s">
        <v>50</v>
      </c>
      <c r="B24" s="1" t="n">
        <v>1E-008</v>
      </c>
      <c r="C24" s="0" t="s">
        <v>43</v>
      </c>
      <c r="D24" s="0" t="n">
        <v>9637</v>
      </c>
      <c r="F24" s="2" t="s">
        <v>51</v>
      </c>
      <c r="G24" s="2" t="s">
        <v>52</v>
      </c>
    </row>
    <row r="25" customFormat="false" ht="270" hidden="false" customHeight="false" outlineLevel="0" collapsed="false">
      <c r="B25" s="1" t="n">
        <v>1E-005</v>
      </c>
      <c r="C25" s="0" t="s">
        <v>43</v>
      </c>
      <c r="D25" s="0" t="n">
        <v>9767</v>
      </c>
      <c r="F25" s="2" t="s">
        <v>53</v>
      </c>
      <c r="G25" s="2" t="s">
        <v>54</v>
      </c>
    </row>
    <row r="26" customFormat="false" ht="270" hidden="false" customHeight="false" outlineLevel="0" collapsed="false">
      <c r="B26" s="1" t="n">
        <v>0.001</v>
      </c>
      <c r="C26" s="0" t="s">
        <v>55</v>
      </c>
      <c r="D26" s="0" t="n">
        <v>98</v>
      </c>
      <c r="F26" s="2" t="s">
        <v>56</v>
      </c>
      <c r="G26" s="2" t="s">
        <v>57</v>
      </c>
    </row>
    <row r="27" customFormat="false" ht="409.5" hidden="false" customHeight="false" outlineLevel="0" collapsed="false">
      <c r="A27" s="0" t="s">
        <v>58</v>
      </c>
      <c r="B27" s="1" t="n">
        <v>1E-008</v>
      </c>
      <c r="C27" s="0" t="s">
        <v>55</v>
      </c>
      <c r="D27" s="0" t="n">
        <v>199</v>
      </c>
      <c r="F27" s="2" t="s">
        <v>59</v>
      </c>
      <c r="G27" s="2" t="s">
        <v>60</v>
      </c>
    </row>
    <row r="28" customFormat="false" ht="409.5" hidden="false" customHeight="false" outlineLevel="0" collapsed="false">
      <c r="B28" s="1" t="n">
        <v>1E-005</v>
      </c>
      <c r="C28" s="0" t="s">
        <v>55</v>
      </c>
      <c r="D28" s="0" t="n">
        <v>65</v>
      </c>
      <c r="F28" s="2" t="s">
        <v>61</v>
      </c>
      <c r="G28" s="2" t="s">
        <v>62</v>
      </c>
    </row>
    <row r="29" customFormat="false" ht="409.5" hidden="false" customHeight="false" outlineLevel="0" collapsed="false">
      <c r="B29" s="1" t="n">
        <v>0.001</v>
      </c>
      <c r="C29" s="0" t="s">
        <v>63</v>
      </c>
      <c r="D29" s="0" t="n">
        <v>123</v>
      </c>
      <c r="F29" s="2" t="s">
        <v>64</v>
      </c>
      <c r="G29" s="2" t="s">
        <v>65</v>
      </c>
    </row>
    <row r="30" customFormat="false" ht="270" hidden="false" customHeight="false" outlineLevel="0" collapsed="false">
      <c r="A30" s="0" t="s">
        <v>66</v>
      </c>
      <c r="C30" s="0" t="s">
        <v>55</v>
      </c>
      <c r="D30" s="0" t="n">
        <v>150</v>
      </c>
      <c r="F30" s="2" t="s">
        <v>67</v>
      </c>
      <c r="G30" s="2" t="s">
        <v>68</v>
      </c>
    </row>
    <row r="31" customFormat="false" ht="270" hidden="false" customHeight="false" outlineLevel="0" collapsed="false">
      <c r="A31" s="0" t="s">
        <v>69</v>
      </c>
      <c r="C31" s="0" t="s">
        <v>70</v>
      </c>
      <c r="F31" s="2" t="s">
        <v>71</v>
      </c>
      <c r="G31" s="2" t="s">
        <v>72</v>
      </c>
    </row>
    <row r="32" customFormat="false" ht="15" hidden="false" customHeight="false" outlineLevel="0" collapsed="false">
      <c r="A32" s="0" t="s">
        <v>73</v>
      </c>
      <c r="C32" s="0" t="s">
        <v>74</v>
      </c>
      <c r="G32" s="2" t="s">
        <v>75</v>
      </c>
      <c r="H32" s="0" t="s">
        <v>76</v>
      </c>
    </row>
    <row r="33" customFormat="false" ht="270" hidden="false" customHeight="false" outlineLevel="0" collapsed="false">
      <c r="A33" s="0" t="s">
        <v>77</v>
      </c>
      <c r="B33" s="1" t="n">
        <v>1E-011</v>
      </c>
      <c r="C33" s="0" t="s">
        <v>78</v>
      </c>
      <c r="D33" s="0" t="n">
        <v>19350</v>
      </c>
      <c r="F33" s="2" t="s">
        <v>79</v>
      </c>
      <c r="G33" s="2" t="s">
        <v>80</v>
      </c>
      <c r="H33" s="0" t="s">
        <v>81</v>
      </c>
    </row>
    <row r="34" customFormat="false" ht="90" hidden="false" customHeight="false" outlineLevel="0" collapsed="false">
      <c r="A34" s="0" t="s">
        <v>82</v>
      </c>
      <c r="B34" s="1" t="n">
        <v>1E-011</v>
      </c>
      <c r="C34" s="0" t="s">
        <v>83</v>
      </c>
      <c r="D34" s="0" t="n">
        <v>17631</v>
      </c>
      <c r="F34" s="2" t="s">
        <v>84</v>
      </c>
      <c r="G34" s="2" t="s">
        <v>85</v>
      </c>
      <c r="H34" s="0" t="s">
        <v>86</v>
      </c>
    </row>
    <row r="35" customFormat="false" ht="270" hidden="false" customHeight="false" outlineLevel="0" collapsed="false">
      <c r="A35" s="0" t="s">
        <v>87</v>
      </c>
      <c r="B35" s="1" t="n">
        <v>1E-011</v>
      </c>
      <c r="C35" s="0" t="s">
        <v>43</v>
      </c>
      <c r="D35" s="0" t="n">
        <v>16220</v>
      </c>
      <c r="F35" s="2" t="s">
        <v>88</v>
      </c>
      <c r="G35" s="2" t="s">
        <v>89</v>
      </c>
    </row>
    <row r="36" customFormat="false" ht="135" hidden="false" customHeight="false" outlineLevel="0" collapsed="false">
      <c r="A36" s="0" t="s">
        <v>90</v>
      </c>
      <c r="B36" s="1" t="n">
        <v>1E-008</v>
      </c>
      <c r="C36" s="0" t="s">
        <v>91</v>
      </c>
      <c r="D36" s="0" t="n">
        <v>67360</v>
      </c>
      <c r="F36" s="2" t="s">
        <v>92</v>
      </c>
      <c r="G36" s="2" t="s">
        <v>93</v>
      </c>
    </row>
    <row r="37" customFormat="false" ht="270" hidden="false" customHeight="false" outlineLevel="0" collapsed="false">
      <c r="B37" s="1" t="n">
        <v>1E-011</v>
      </c>
      <c r="D37" s="0" t="n">
        <v>12850</v>
      </c>
      <c r="F37" s="2" t="s">
        <v>94</v>
      </c>
      <c r="G37" s="2" t="s">
        <v>95</v>
      </c>
    </row>
    <row r="38" customFormat="false" ht="15" hidden="false" customHeight="false" outlineLevel="0" collapsed="false">
      <c r="A38" s="0" t="s">
        <v>96</v>
      </c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D2" activeCellId="0" sqref="D2"/>
    </sheetView>
  </sheetViews>
  <sheetFormatPr defaultColWidth="10.54296875" defaultRowHeight="15" zeroHeight="false" outlineLevelRow="0" outlineLevelCol="0"/>
  <cols>
    <col collapsed="false" customWidth="true" hidden="false" outlineLevel="0" max="2" min="2" style="0" width="13.14"/>
    <col collapsed="false" customWidth="true" hidden="false" outlineLevel="0" max="5" min="5" style="0" width="57.15"/>
    <col collapsed="false" customWidth="true" hidden="false" outlineLevel="0" max="6" min="6" style="0" width="47.43"/>
    <col collapsed="false" customWidth="true" hidden="false" outlineLevel="0" max="7" min="7" style="0" width="122.57"/>
  </cols>
  <sheetData>
    <row r="1" customFormat="false" ht="15" hidden="false" customHeight="false" outlineLevel="0" collapsed="false">
      <c r="A1" s="0" t="s">
        <v>2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</row>
    <row r="2" customFormat="false" ht="409.5" hidden="false" customHeight="false" outlineLevel="0" collapsed="false">
      <c r="A2" s="0" t="s">
        <v>97</v>
      </c>
      <c r="B2" s="1" t="n">
        <v>1E-011</v>
      </c>
      <c r="C2" s="0" t="s">
        <v>35</v>
      </c>
      <c r="D2" s="0" t="n">
        <v>23905</v>
      </c>
      <c r="E2" s="2" t="s">
        <v>11</v>
      </c>
      <c r="F2" s="2" t="s">
        <v>98</v>
      </c>
      <c r="G2" s="2" t="s">
        <v>99</v>
      </c>
    </row>
    <row r="3" customFormat="false" ht="409.5" hidden="false" customHeight="false" outlineLevel="0" collapsed="false">
      <c r="B3" s="1" t="n">
        <v>1E-008</v>
      </c>
      <c r="C3" s="0" t="s">
        <v>43</v>
      </c>
      <c r="D3" s="0" t="n">
        <v>3261</v>
      </c>
      <c r="F3" s="2" t="s">
        <v>100</v>
      </c>
      <c r="G3" s="2" t="s">
        <v>101</v>
      </c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0.54296875" defaultRowHeight="15" zeroHeight="false" outlineLevelRow="0" outlineLevelCol="0"/>
  <cols>
    <col collapsed="false" customWidth="true" hidden="false" outlineLevel="0" max="5" min="5" style="0" width="39.85"/>
    <col collapsed="false" customWidth="true" hidden="false" outlineLevel="0" max="6" min="6" style="0" width="52.71"/>
    <col collapsed="false" customWidth="true" hidden="false" outlineLevel="0" max="7" min="7" style="0" width="37.14"/>
  </cols>
  <sheetData>
    <row r="1" customFormat="false" ht="15" hidden="false" customHeight="false" outlineLevel="0" collapsed="false">
      <c r="A1" s="0" t="s">
        <v>2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</row>
    <row r="2" customFormat="false" ht="409.5" hidden="false" customHeight="false" outlineLevel="0" collapsed="false">
      <c r="A2" s="0" t="s">
        <v>102</v>
      </c>
      <c r="B2" s="1" t="n">
        <v>1E-008</v>
      </c>
      <c r="C2" s="0" t="s">
        <v>35</v>
      </c>
      <c r="D2" s="0" t="n">
        <v>24654</v>
      </c>
      <c r="E2" s="2" t="s">
        <v>103</v>
      </c>
      <c r="F2" s="2" t="s">
        <v>104</v>
      </c>
      <c r="G2" s="2" t="s">
        <v>105</v>
      </c>
    </row>
    <row r="3" customFormat="false" ht="409.5" hidden="false" customHeight="false" outlineLevel="0" collapsed="false">
      <c r="C3" s="0" t="s">
        <v>35</v>
      </c>
      <c r="D3" s="0" t="n">
        <v>76527</v>
      </c>
      <c r="F3" s="2" t="s">
        <v>106</v>
      </c>
      <c r="G3" s="2" t="s">
        <v>107</v>
      </c>
    </row>
    <row r="4" customFormat="false" ht="285" hidden="false" customHeight="false" outlineLevel="0" collapsed="false">
      <c r="A4" s="0" t="s">
        <v>108</v>
      </c>
      <c r="C4" s="0" t="s">
        <v>109</v>
      </c>
      <c r="D4" s="0" t="n">
        <v>12350</v>
      </c>
      <c r="F4" s="2" t="s">
        <v>110</v>
      </c>
      <c r="G4" s="2" t="s">
        <v>111</v>
      </c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false" showOutlineSymbols="true" defaultGridColor="true" view="normal" topLeftCell="F4" colorId="64" zoomScale="100" zoomScaleNormal="100" zoomScalePageLayoutView="100" workbookViewId="0">
      <selection pane="topLeft" activeCell="F5" activeCellId="0" sqref="F5"/>
    </sheetView>
  </sheetViews>
  <sheetFormatPr defaultColWidth="10.54296875" defaultRowHeight="15" zeroHeight="false" outlineLevelRow="0" outlineLevelCol="0"/>
  <cols>
    <col collapsed="false" customWidth="true" hidden="false" outlineLevel="0" max="1" min="1" style="0" width="21.15"/>
    <col collapsed="false" customWidth="true" hidden="false" outlineLevel="0" max="5" min="5" style="0" width="74.43"/>
    <col collapsed="false" customWidth="true" hidden="false" outlineLevel="0" max="6" min="6" style="0" width="83.14"/>
    <col collapsed="false" customWidth="true" hidden="false" outlineLevel="0" max="7" min="7" style="0" width="68.57"/>
    <col collapsed="false" customWidth="true" hidden="false" outlineLevel="0" max="11" min="11" style="0" width="70.28"/>
  </cols>
  <sheetData>
    <row r="1" customFormat="false" ht="15" hidden="false" customHeight="false" outlineLevel="0" collapsed="false">
      <c r="A1" s="0" t="s">
        <v>2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112</v>
      </c>
      <c r="I1" s="0" t="s">
        <v>113</v>
      </c>
      <c r="K1" s="0" t="s">
        <v>114</v>
      </c>
      <c r="L1" s="0" t="s">
        <v>115</v>
      </c>
    </row>
    <row r="2" customFormat="false" ht="409.5" hidden="false" customHeight="false" outlineLevel="0" collapsed="false">
      <c r="A2" s="3" t="s">
        <v>12</v>
      </c>
      <c r="B2" s="4" t="n">
        <v>1E-008</v>
      </c>
      <c r="C2" s="3" t="s">
        <v>43</v>
      </c>
      <c r="D2" s="3" t="n">
        <v>1630</v>
      </c>
      <c r="E2" s="5" t="s">
        <v>116</v>
      </c>
      <c r="F2" s="5" t="s">
        <v>117</v>
      </c>
      <c r="G2" s="5" t="s">
        <v>118</v>
      </c>
      <c r="H2" s="5" t="s">
        <v>119</v>
      </c>
      <c r="I2" s="3" t="s">
        <v>120</v>
      </c>
      <c r="K2" s="5" t="s">
        <v>121</v>
      </c>
      <c r="L2" s="3" t="s">
        <v>63</v>
      </c>
    </row>
    <row r="3" customFormat="false" ht="409.5" hidden="false" customHeight="false" outlineLevel="0" collapsed="false">
      <c r="A3" s="3" t="s">
        <v>12</v>
      </c>
      <c r="B3" s="4" t="n">
        <v>1E-008</v>
      </c>
      <c r="C3" s="3" t="s">
        <v>43</v>
      </c>
      <c r="D3" s="3" t="n">
        <v>3436</v>
      </c>
      <c r="E3" s="5" t="s">
        <v>116</v>
      </c>
      <c r="F3" s="5" t="s">
        <v>122</v>
      </c>
      <c r="G3" s="5" t="s">
        <v>123</v>
      </c>
      <c r="H3" s="5" t="s">
        <v>124</v>
      </c>
      <c r="I3" s="3" t="s">
        <v>120</v>
      </c>
      <c r="K3" s="5" t="s">
        <v>125</v>
      </c>
      <c r="L3" s="5" t="s">
        <v>126</v>
      </c>
    </row>
    <row r="4" customFormat="false" ht="409.5" hidden="false" customHeight="false" outlineLevel="0" collapsed="false">
      <c r="A4" s="3" t="s">
        <v>12</v>
      </c>
      <c r="B4" s="4" t="n">
        <v>1E-008</v>
      </c>
      <c r="C4" s="3" t="s">
        <v>35</v>
      </c>
      <c r="D4" s="3" t="n">
        <v>28040</v>
      </c>
      <c r="E4" s="5" t="s">
        <v>116</v>
      </c>
      <c r="F4" s="5" t="s">
        <v>127</v>
      </c>
      <c r="G4" s="5" t="s">
        <v>128</v>
      </c>
      <c r="H4" s="5" t="s">
        <v>124</v>
      </c>
      <c r="I4" s="5" t="s">
        <v>129</v>
      </c>
      <c r="L4" s="3" t="s">
        <v>130</v>
      </c>
    </row>
    <row r="5" customFormat="false" ht="409.5" hidden="false" customHeight="false" outlineLevel="0" collapsed="false">
      <c r="A5" s="3" t="s">
        <v>12</v>
      </c>
      <c r="B5" s="4" t="n">
        <v>1E-008</v>
      </c>
      <c r="C5" s="3" t="s">
        <v>43</v>
      </c>
      <c r="D5" s="3" t="n">
        <v>3902</v>
      </c>
      <c r="E5" s="5" t="s">
        <v>116</v>
      </c>
      <c r="F5" s="5" t="s">
        <v>131</v>
      </c>
      <c r="G5" s="5" t="s">
        <v>132</v>
      </c>
      <c r="H5" s="3" t="s">
        <v>124</v>
      </c>
      <c r="I5" s="3" t="s">
        <v>133</v>
      </c>
      <c r="K5" s="5" t="s">
        <v>134</v>
      </c>
      <c r="L5" s="3" t="s">
        <v>126</v>
      </c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F10" activeCellId="0" sqref="F10"/>
    </sheetView>
  </sheetViews>
  <sheetFormatPr defaultColWidth="9.171875" defaultRowHeight="12.8" zeroHeight="false" outlineLevelRow="0" outlineLevelCol="0"/>
  <cols>
    <col collapsed="false" customWidth="true" hidden="false" outlineLevel="0" max="1" min="1" style="0" width="17.98"/>
    <col collapsed="false" customWidth="true" hidden="false" outlineLevel="0" max="2" min="2" style="0" width="15.76"/>
    <col collapsed="false" customWidth="true" hidden="false" outlineLevel="0" max="5" min="5" style="0" width="51.6"/>
    <col collapsed="false" customWidth="true" hidden="false" outlineLevel="0" max="6" min="6" style="0" width="53.03"/>
    <col collapsed="false" customWidth="true" hidden="false" outlineLevel="0" max="7" min="7" style="0" width="24.36"/>
    <col collapsed="false" customWidth="true" hidden="false" outlineLevel="0" max="8" min="8" style="0" width="14.66"/>
    <col collapsed="false" customWidth="true" hidden="false" outlineLevel="0" max="9" min="9" style="0" width="19.95"/>
    <col collapsed="false" customWidth="true" hidden="false" outlineLevel="0" max="10" min="10" style="0" width="24.03"/>
  </cols>
  <sheetData>
    <row r="1" customFormat="false" ht="13.8" hidden="false" customHeight="false" outlineLevel="0" collapsed="false">
      <c r="A1" s="0" t="s">
        <v>135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112</v>
      </c>
      <c r="I1" s="0" t="s">
        <v>113</v>
      </c>
      <c r="J1" s="0" t="s">
        <v>112</v>
      </c>
      <c r="K1" s="0" t="s">
        <v>136</v>
      </c>
    </row>
    <row r="2" customFormat="false" ht="364.15" hidden="false" customHeight="false" outlineLevel="0" collapsed="false">
      <c r="A2" s="3" t="s">
        <v>12</v>
      </c>
      <c r="B2" s="4" t="n">
        <v>1E-008</v>
      </c>
      <c r="C2" s="3" t="s">
        <v>43</v>
      </c>
      <c r="D2" s="5" t="n">
        <v>4796</v>
      </c>
      <c r="E2" s="5" t="s">
        <v>137</v>
      </c>
      <c r="F2" s="5" t="s">
        <v>138</v>
      </c>
      <c r="G2" s="5" t="s">
        <v>139</v>
      </c>
      <c r="H2" s="5" t="s">
        <v>124</v>
      </c>
      <c r="I2" s="3" t="s">
        <v>140</v>
      </c>
      <c r="K2" s="3" t="s">
        <v>141</v>
      </c>
    </row>
    <row r="3" customFormat="false" ht="364.15" hidden="false" customHeight="false" outlineLevel="0" collapsed="false">
      <c r="A3" s="3" t="s">
        <v>12</v>
      </c>
      <c r="B3" s="4" t="n">
        <v>1E-008</v>
      </c>
      <c r="C3" s="3" t="s">
        <v>43</v>
      </c>
      <c r="D3" s="3" t="n">
        <v>4534</v>
      </c>
      <c r="E3" s="5" t="s">
        <v>137</v>
      </c>
      <c r="F3" s="5" t="s">
        <v>142</v>
      </c>
      <c r="G3" s="5" t="s">
        <v>143</v>
      </c>
      <c r="H3" s="5" t="s">
        <v>124</v>
      </c>
      <c r="I3" s="3" t="s">
        <v>144</v>
      </c>
      <c r="K3" s="3" t="s">
        <v>63</v>
      </c>
    </row>
    <row r="4" customFormat="false" ht="364.15" hidden="false" customHeight="false" outlineLevel="0" collapsed="false">
      <c r="A4" s="3" t="s">
        <v>12</v>
      </c>
      <c r="B4" s="4" t="n">
        <v>1E-008</v>
      </c>
      <c r="C4" s="3" t="s">
        <v>43</v>
      </c>
      <c r="D4" s="3" t="n">
        <v>2440</v>
      </c>
      <c r="E4" s="5" t="s">
        <v>137</v>
      </c>
      <c r="F4" s="5" t="s">
        <v>145</v>
      </c>
      <c r="G4" s="3" t="s">
        <v>146</v>
      </c>
      <c r="H4" s="5" t="s">
        <v>124</v>
      </c>
      <c r="I4" s="3" t="s">
        <v>144</v>
      </c>
      <c r="J4" s="5" t="s">
        <v>147</v>
      </c>
      <c r="K4" s="3" t="s">
        <v>148</v>
      </c>
    </row>
    <row r="5" customFormat="false" ht="364.15" hidden="false" customHeight="false" outlineLevel="0" collapsed="false">
      <c r="A5" s="3" t="s">
        <v>12</v>
      </c>
      <c r="B5" s="4" t="n">
        <v>1E-005</v>
      </c>
      <c r="C5" s="3" t="s">
        <v>43</v>
      </c>
      <c r="D5" s="3" t="n">
        <v>3198</v>
      </c>
      <c r="E5" s="5"/>
      <c r="F5" s="5" t="s">
        <v>149</v>
      </c>
      <c r="G5" s="3" t="s">
        <v>150</v>
      </c>
      <c r="H5" s="5" t="s">
        <v>124</v>
      </c>
      <c r="I5" s="3" t="s">
        <v>144</v>
      </c>
      <c r="J5" s="5" t="s">
        <v>147</v>
      </c>
      <c r="K5" s="3" t="s">
        <v>151</v>
      </c>
    </row>
    <row r="6" customFormat="false" ht="364.15" hidden="false" customHeight="false" outlineLevel="0" collapsed="false">
      <c r="A6" s="3" t="s">
        <v>12</v>
      </c>
      <c r="B6" s="4" t="n">
        <v>1E-008</v>
      </c>
      <c r="C6" s="3" t="s">
        <v>43</v>
      </c>
      <c r="D6" s="5" t="n">
        <v>6221</v>
      </c>
      <c r="E6" s="3"/>
      <c r="F6" s="2" t="s">
        <v>152</v>
      </c>
      <c r="G6" s="3" t="s">
        <v>153</v>
      </c>
      <c r="H6" s="5" t="s">
        <v>124</v>
      </c>
      <c r="I6" s="3" t="s">
        <v>140</v>
      </c>
      <c r="J6" s="5" t="s">
        <v>147</v>
      </c>
      <c r="K6" s="3" t="s">
        <v>154</v>
      </c>
    </row>
    <row r="7" customFormat="false" ht="364.15" hidden="false" customHeight="false" outlineLevel="0" collapsed="false">
      <c r="A7" s="3" t="s">
        <v>40</v>
      </c>
      <c r="B7" s="4" t="n">
        <v>1E-005</v>
      </c>
      <c r="C7" s="3" t="s">
        <v>43</v>
      </c>
      <c r="D7" s="3" t="n">
        <v>18311</v>
      </c>
      <c r="F7" s="2" t="s">
        <v>155</v>
      </c>
      <c r="G7" s="3" t="s">
        <v>156</v>
      </c>
      <c r="H7" s="5" t="s">
        <v>124</v>
      </c>
      <c r="I7" s="3" t="s">
        <v>140</v>
      </c>
      <c r="J7" s="5" t="s">
        <v>147</v>
      </c>
      <c r="K7" s="3" t="s">
        <v>151</v>
      </c>
    </row>
    <row r="8" customFormat="false" ht="364.15" hidden="false" customHeight="false" outlineLevel="0" collapsed="false">
      <c r="A8" s="3" t="s">
        <v>12</v>
      </c>
      <c r="B8" s="4" t="n">
        <v>1E-005</v>
      </c>
      <c r="C8" s="3" t="s">
        <v>43</v>
      </c>
      <c r="D8" s="5" t="n">
        <v>6937</v>
      </c>
      <c r="F8" s="5" t="s">
        <v>157</v>
      </c>
      <c r="G8" s="5" t="s">
        <v>158</v>
      </c>
      <c r="H8" s="5" t="s">
        <v>124</v>
      </c>
      <c r="I8" s="3" t="s">
        <v>140</v>
      </c>
      <c r="J8" s="5" t="s">
        <v>159</v>
      </c>
      <c r="K8" s="3" t="s">
        <v>151</v>
      </c>
    </row>
    <row r="9" customFormat="false" ht="337.3" hidden="false" customHeight="false" outlineLevel="0" collapsed="false">
      <c r="A9" s="3" t="s">
        <v>12</v>
      </c>
      <c r="B9" s="4" t="n">
        <v>1E-008</v>
      </c>
      <c r="C9" s="3" t="s">
        <v>43</v>
      </c>
      <c r="D9" s="3" t="n">
        <v>7718</v>
      </c>
      <c r="F9" s="2" t="s">
        <v>160</v>
      </c>
      <c r="G9" s="3" t="s">
        <v>161</v>
      </c>
      <c r="H9" s="5" t="s">
        <v>124</v>
      </c>
      <c r="I9" s="3" t="s">
        <v>140</v>
      </c>
      <c r="J9" s="5" t="s">
        <v>159</v>
      </c>
      <c r="K9" s="3" t="s">
        <v>151</v>
      </c>
    </row>
    <row r="10" customFormat="false" ht="431.3" hidden="false" customHeight="false" outlineLevel="0" collapsed="false">
      <c r="A10" s="6" t="s">
        <v>12</v>
      </c>
      <c r="B10" s="7" t="n">
        <v>1E-005</v>
      </c>
      <c r="C10" s="6" t="s">
        <v>43</v>
      </c>
      <c r="D10" s="6" t="n">
        <v>10606</v>
      </c>
      <c r="E10" s="8"/>
      <c r="F10" s="9" t="s">
        <v>162</v>
      </c>
      <c r="G10" s="6" t="s">
        <v>163</v>
      </c>
      <c r="H10" s="9" t="s">
        <v>124</v>
      </c>
      <c r="I10" s="9" t="s">
        <v>144</v>
      </c>
      <c r="J10" s="9" t="s">
        <v>164</v>
      </c>
      <c r="K10" s="6" t="s">
        <v>165</v>
      </c>
    </row>
    <row r="11" customFormat="false" ht="471.6" hidden="false" customHeight="false" outlineLevel="0" collapsed="false">
      <c r="A11" s="3" t="s">
        <v>12</v>
      </c>
      <c r="B11" s="4" t="n">
        <v>1E-005</v>
      </c>
      <c r="C11" s="3" t="s">
        <v>63</v>
      </c>
      <c r="D11" s="3" t="n">
        <v>12980</v>
      </c>
      <c r="E11" s="3"/>
      <c r="F11" s="5" t="s">
        <v>166</v>
      </c>
      <c r="G11" s="3" t="s">
        <v>167</v>
      </c>
      <c r="H11" s="5" t="s">
        <v>124</v>
      </c>
      <c r="I11" s="3" t="s">
        <v>140</v>
      </c>
      <c r="J11" s="2" t="s">
        <v>168</v>
      </c>
    </row>
    <row r="12" customFormat="false" ht="13.8" hidden="false" customHeight="false" outlineLevel="0" collapsed="false">
      <c r="F12" s="3"/>
    </row>
    <row r="13" customFormat="false" ht="13.8" hidden="false" customHeight="false" outlineLevel="0" collapsed="false">
      <c r="F13" s="3"/>
    </row>
    <row r="14" customFormat="false" ht="13.8" hidden="false" customHeight="false" outlineLevel="0" collapsed="false">
      <c r="F14" s="3"/>
    </row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" activeCellId="0" sqref="J2"/>
    </sheetView>
  </sheetViews>
  <sheetFormatPr defaultColWidth="10.54296875" defaultRowHeight="15" zeroHeight="false" outlineLevelRow="0" outlineLevelCol="0"/>
  <cols>
    <col collapsed="false" customWidth="true" hidden="false" outlineLevel="0" max="5" min="5" style="0" width="47.71"/>
    <col collapsed="false" customWidth="true" hidden="false" outlineLevel="0" max="6" min="6" style="0" width="71"/>
    <col collapsed="false" customWidth="true" hidden="false" outlineLevel="0" max="7" min="7" style="0" width="70.85"/>
    <col collapsed="false" customWidth="true" hidden="false" outlineLevel="0" max="9" min="9" style="0" width="32.52"/>
  </cols>
  <sheetData>
    <row r="1" customFormat="false" ht="13.8" hidden="false" customHeight="false" outlineLevel="0" collapsed="false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169</v>
      </c>
      <c r="I1" s="0" t="s">
        <v>169</v>
      </c>
      <c r="J1" s="0" t="s">
        <v>170</v>
      </c>
    </row>
    <row r="2" customFormat="false" ht="900.7" hidden="false" customHeight="false" outlineLevel="0" collapsed="false">
      <c r="A2" s="3" t="s">
        <v>12</v>
      </c>
      <c r="B2" s="4" t="n">
        <v>1E-008</v>
      </c>
      <c r="C2" s="3" t="s">
        <v>35</v>
      </c>
      <c r="D2" s="3" t="n">
        <v>24817</v>
      </c>
      <c r="E2" s="5" t="s">
        <v>171</v>
      </c>
      <c r="F2" s="5" t="s">
        <v>172</v>
      </c>
      <c r="G2" s="5" t="s">
        <v>173</v>
      </c>
      <c r="H2" s="3"/>
      <c r="J2" s="5" t="s">
        <v>174</v>
      </c>
    </row>
    <row r="3" customFormat="false" ht="13.8" hidden="false" customHeight="false" outlineLevel="0" collapsed="false">
      <c r="A3" s="3" t="s">
        <v>12</v>
      </c>
      <c r="B3" s="4" t="n">
        <v>1E-008</v>
      </c>
      <c r="C3" s="3"/>
      <c r="D3" s="3"/>
      <c r="E3" s="3"/>
      <c r="F3" s="3"/>
      <c r="G3" s="3"/>
      <c r="H3" s="3"/>
    </row>
    <row r="4" customFormat="false" ht="82.05" hidden="false" customHeight="false" outlineLevel="0" collapsed="false">
      <c r="A4" s="3" t="s">
        <v>12</v>
      </c>
      <c r="B4" s="4" t="n">
        <v>1E-008</v>
      </c>
      <c r="C4" s="3" t="s">
        <v>35</v>
      </c>
      <c r="D4" s="3"/>
      <c r="E4" s="5" t="s">
        <v>175</v>
      </c>
      <c r="F4" s="3"/>
      <c r="G4" s="3"/>
      <c r="H4" s="3"/>
    </row>
    <row r="5" customFormat="false" ht="941" hidden="false" customHeight="false" outlineLevel="0" collapsed="false">
      <c r="A5" s="3" t="s">
        <v>12</v>
      </c>
      <c r="B5" s="4" t="n">
        <v>1E-008</v>
      </c>
      <c r="C5" s="3" t="s">
        <v>35</v>
      </c>
      <c r="D5" s="3" t="s">
        <v>176</v>
      </c>
      <c r="E5" s="5" t="s">
        <v>177</v>
      </c>
      <c r="F5" s="5" t="s">
        <v>178</v>
      </c>
      <c r="G5" s="5" t="s">
        <v>179</v>
      </c>
      <c r="H5" s="3" t="s">
        <v>180</v>
      </c>
    </row>
    <row r="6" customFormat="false" ht="1250" hidden="false" customHeight="false" outlineLevel="0" collapsed="false">
      <c r="A6" s="3" t="s">
        <v>12</v>
      </c>
      <c r="B6" s="4" t="n">
        <v>1E-008</v>
      </c>
      <c r="C6" s="3" t="s">
        <v>35</v>
      </c>
      <c r="D6" s="3" t="s">
        <v>181</v>
      </c>
      <c r="E6" s="3"/>
      <c r="F6" s="5" t="s">
        <v>182</v>
      </c>
      <c r="G6" s="5" t="s">
        <v>183</v>
      </c>
      <c r="H6" s="3"/>
    </row>
    <row r="7" customFormat="false" ht="202.95" hidden="false" customHeight="false" outlineLevel="0" collapsed="false">
      <c r="A7" s="3" t="s">
        <v>12</v>
      </c>
      <c r="B7" s="4" t="n">
        <v>1E-005</v>
      </c>
      <c r="C7" s="10" t="n">
        <f aca="false">FALSE()</f>
        <v>0</v>
      </c>
      <c r="D7" s="3" t="s">
        <v>184</v>
      </c>
      <c r="E7" s="5" t="s">
        <v>177</v>
      </c>
      <c r="F7" s="5" t="s">
        <v>185</v>
      </c>
      <c r="G7" s="5" t="s">
        <v>186</v>
      </c>
      <c r="H7" s="5" t="s">
        <v>187</v>
      </c>
      <c r="I7" s="5" t="s">
        <v>159</v>
      </c>
    </row>
    <row r="8" customFormat="false" ht="13.8" hidden="false" customHeight="false" outlineLevel="0" collapsed="false">
      <c r="H8" s="3"/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" activeCellId="0" sqref="K3"/>
    </sheetView>
  </sheetViews>
  <sheetFormatPr defaultColWidth="9.1640625" defaultRowHeight="12.8" zeroHeight="false" outlineLevelRow="0" outlineLevelCol="0"/>
  <cols>
    <col collapsed="false" customWidth="true" hidden="false" outlineLevel="0" max="1" min="1" style="0" width="21.94"/>
    <col collapsed="false" customWidth="true" hidden="false" outlineLevel="0" max="5" min="5" style="0" width="36.16"/>
    <col collapsed="false" customWidth="true" hidden="false" outlineLevel="0" max="6" min="6" style="0" width="37.49"/>
    <col collapsed="false" customWidth="true" hidden="false" outlineLevel="0" max="7" min="7" style="0" width="27.56"/>
    <col collapsed="false" customWidth="true" hidden="false" outlineLevel="0" max="8" min="8" style="0" width="20.62"/>
    <col collapsed="false" customWidth="true" hidden="false" outlineLevel="0" max="9" min="9" style="0" width="21.61"/>
    <col collapsed="false" customWidth="true" hidden="false" outlineLevel="0" max="10" min="10" style="0" width="41.12"/>
    <col collapsed="false" customWidth="true" hidden="false" outlineLevel="0" max="11" min="11" style="0" width="17.19"/>
  </cols>
  <sheetData>
    <row r="1" customFormat="false" ht="13.8" hidden="false" customHeight="false" outlineLevel="0" collapsed="false">
      <c r="A1" s="0" t="s">
        <v>135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112</v>
      </c>
      <c r="I1" s="0" t="s">
        <v>113</v>
      </c>
      <c r="J1" s="0" t="s">
        <v>112</v>
      </c>
      <c r="K1" s="0" t="s">
        <v>136</v>
      </c>
    </row>
    <row r="2" customFormat="false" ht="579.1" hidden="false" customHeight="false" outlineLevel="0" collapsed="false">
      <c r="A2" s="3" t="s">
        <v>188</v>
      </c>
      <c r="B2" s="4" t="n">
        <v>1E-005</v>
      </c>
      <c r="C2" s="3" t="s">
        <v>43</v>
      </c>
      <c r="D2" s="5" t="n">
        <v>3025</v>
      </c>
      <c r="E2" s="5" t="s">
        <v>189</v>
      </c>
      <c r="F2" s="5" t="s">
        <v>190</v>
      </c>
      <c r="G2" s="3" t="s">
        <v>191</v>
      </c>
      <c r="H2" s="5" t="s">
        <v>124</v>
      </c>
      <c r="I2" s="5" t="s">
        <v>192</v>
      </c>
      <c r="J2" s="5" t="s">
        <v>193</v>
      </c>
      <c r="K2" s="3" t="s">
        <v>194</v>
      </c>
    </row>
    <row r="3" customFormat="false" ht="592.5" hidden="false" customHeight="false" outlineLevel="0" collapsed="false">
      <c r="A3" s="3" t="s">
        <v>188</v>
      </c>
      <c r="B3" s="4" t="n">
        <v>1E-005</v>
      </c>
      <c r="C3" s="3" t="s">
        <v>43</v>
      </c>
      <c r="D3" s="5" t="n">
        <v>6835</v>
      </c>
      <c r="E3" s="3"/>
      <c r="F3" s="5" t="s">
        <v>195</v>
      </c>
      <c r="G3" s="3" t="s">
        <v>196</v>
      </c>
      <c r="H3" s="5" t="s">
        <v>124</v>
      </c>
      <c r="I3" s="3" t="s">
        <v>144</v>
      </c>
      <c r="J3" s="5" t="s">
        <v>197</v>
      </c>
      <c r="K3" s="3" t="s">
        <v>194</v>
      </c>
    </row>
    <row r="4" customFormat="false" ht="13.8" hidden="false" customHeight="false" outlineLevel="0" collapsed="false">
      <c r="G4" s="11"/>
    </row>
    <row r="5" customFormat="false" ht="13.8" hidden="false" customHeight="false" outlineLevel="0" collapsed="false">
      <c r="G5" s="11"/>
    </row>
    <row r="6" customFormat="false" ht="13.8" hidden="false" customHeight="false" outlineLevel="0" collapsed="false">
      <c r="G6" s="11"/>
    </row>
    <row r="7" customFormat="false" ht="13.8" hidden="false" customHeight="false" outlineLevel="0" collapsed="false">
      <c r="G7" s="2"/>
    </row>
    <row r="8" customFormat="false" ht="13.8" hidden="false" customHeight="false" outlineLevel="0" collapsed="false">
      <c r="G8" s="2"/>
    </row>
    <row r="9" customFormat="false" ht="13.8" hidden="false" customHeight="false" outlineLevel="0" collapsed="false">
      <c r="G9" s="2"/>
    </row>
    <row r="10" customFormat="false" ht="13.8" hidden="false" customHeight="false" outlineLevel="0" collapsed="false">
      <c r="G10" s="2"/>
    </row>
    <row r="11" customFormat="false" ht="13.8" hidden="false" customHeight="false" outlineLevel="0" collapsed="false">
      <c r="G11" s="2"/>
    </row>
    <row r="12" customFormat="false" ht="13.8" hidden="false" customHeight="false" outlineLevel="0" collapsed="false">
      <c r="G12" s="2"/>
    </row>
    <row r="13" customFormat="false" ht="13.8" hidden="false" customHeight="false" outlineLevel="0" collapsed="false">
      <c r="G13" s="2"/>
    </row>
    <row r="14" customFormat="false" ht="13.8" hidden="false" customHeight="false" outlineLevel="0" collapsed="false">
      <c r="G14" s="2"/>
    </row>
    <row r="15" customFormat="false" ht="13.8" hidden="false" customHeight="false" outlineLevel="0" collapsed="false">
      <c r="G15" s="11"/>
    </row>
    <row r="16" customFormat="false" ht="13.8" hidden="false" customHeight="false" outlineLevel="0" collapsed="false">
      <c r="G16" s="11"/>
    </row>
    <row r="17" customFormat="false" ht="13.8" hidden="false" customHeight="false" outlineLevel="0" collapsed="false">
      <c r="G17" s="2"/>
    </row>
    <row r="18" customFormat="false" ht="13.8" hidden="false" customHeight="false" outlineLevel="0" collapsed="false">
      <c r="G18" s="2"/>
    </row>
    <row r="19" customFormat="false" ht="13.8" hidden="false" customHeight="false" outlineLevel="0" collapsed="false">
      <c r="G19" s="11"/>
    </row>
    <row r="20" customFormat="false" ht="13.8" hidden="false" customHeight="false" outlineLevel="0" collapsed="false">
      <c r="G20" s="2"/>
    </row>
    <row r="21" customFormat="false" ht="13.8" hidden="false" customHeight="false" outlineLevel="0" collapsed="false">
      <c r="G21" s="2"/>
    </row>
    <row r="22" customFormat="false" ht="13.8" hidden="false" customHeight="false" outlineLevel="0" collapsed="false">
      <c r="G22" s="2"/>
    </row>
    <row r="23" customFormat="false" ht="13.8" hidden="false" customHeight="false" outlineLevel="0" collapsed="false">
      <c r="G23" s="2"/>
    </row>
    <row r="24" customFormat="false" ht="13.8" hidden="false" customHeight="false" outlineLevel="0" collapsed="false">
      <c r="G24" s="2"/>
    </row>
    <row r="25" customFormat="false" ht="13.8" hidden="false" customHeight="false" outlineLevel="0" collapsed="false">
      <c r="G25" s="2"/>
    </row>
    <row r="26" customFormat="false" ht="13.8" hidden="false" customHeight="false" outlineLevel="0" collapsed="false">
      <c r="G26" s="11"/>
    </row>
    <row r="27" customFormat="false" ht="13.8" hidden="false" customHeight="false" outlineLevel="0" collapsed="false">
      <c r="G27" s="2"/>
    </row>
    <row r="28" customFormat="false" ht="13.8" hidden="false" customHeight="false" outlineLevel="0" collapsed="false">
      <c r="G28" s="2"/>
    </row>
    <row r="29" customFormat="false" ht="13.8" hidden="false" customHeight="false" outlineLevel="0" collapsed="false">
      <c r="G29" s="11"/>
    </row>
    <row r="30" customFormat="false" ht="13.8" hidden="false" customHeight="false" outlineLevel="0" collapsed="false">
      <c r="G30" s="2"/>
    </row>
    <row r="31" customFormat="false" ht="13.8" hidden="false" customHeight="false" outlineLevel="0" collapsed="false">
      <c r="G31" s="2"/>
    </row>
    <row r="32" customFormat="false" ht="13.8" hidden="false" customHeight="false" outlineLevel="0" collapsed="false">
      <c r="G32" s="2"/>
    </row>
    <row r="33" customFormat="false" ht="13.8" hidden="false" customHeight="false" outlineLevel="0" collapsed="false">
      <c r="G33" s="2"/>
    </row>
    <row r="34" customFormat="false" ht="13.8" hidden="false" customHeight="false" outlineLevel="0" collapsed="false">
      <c r="G34" s="2"/>
    </row>
    <row r="35" customFormat="false" ht="13.8" hidden="false" customHeight="false" outlineLevel="0" collapsed="false">
      <c r="G35" s="2"/>
    </row>
    <row r="36" customFormat="false" ht="13.8" hidden="false" customHeight="false" outlineLevel="0" collapsed="false">
      <c r="G36" s="11"/>
    </row>
    <row r="37" customFormat="false" ht="13.8" hidden="false" customHeight="false" outlineLevel="0" collapsed="false">
      <c r="G37" s="2"/>
    </row>
    <row r="38" customFormat="false" ht="13.8" hidden="false" customHeight="false" outlineLevel="0" collapsed="false">
      <c r="G38" s="2"/>
    </row>
    <row r="39" customFormat="false" ht="13.8" hidden="false" customHeight="false" outlineLevel="0" collapsed="false">
      <c r="G39" s="2"/>
    </row>
    <row r="40" customFormat="false" ht="13.8" hidden="false" customHeight="false" outlineLevel="0" collapsed="false">
      <c r="G40" s="2"/>
    </row>
    <row r="41" customFormat="false" ht="13.8" hidden="false" customHeight="false" outlineLevel="0" collapsed="false">
      <c r="G41" s="11"/>
    </row>
    <row r="42" customFormat="false" ht="13.8" hidden="false" customHeight="false" outlineLevel="0" collapsed="false">
      <c r="G42" s="2"/>
    </row>
    <row r="43" customFormat="false" ht="13.8" hidden="false" customHeight="false" outlineLevel="0" collapsed="false">
      <c r="G43" s="2"/>
    </row>
    <row r="44" customFormat="false" ht="13.8" hidden="false" customHeight="false" outlineLevel="0" collapsed="false">
      <c r="G44" s="2"/>
    </row>
    <row r="45" customFormat="false" ht="13.8" hidden="false" customHeight="false" outlineLevel="0" collapsed="false">
      <c r="G45" s="11"/>
    </row>
    <row r="46" customFormat="false" ht="13.8" hidden="false" customHeight="false" outlineLevel="0" collapsed="false">
      <c r="G46" s="11"/>
    </row>
    <row r="47" customFormat="false" ht="13.8" hidden="false" customHeight="false" outlineLevel="0" collapsed="false">
      <c r="G47" s="2"/>
    </row>
    <row r="48" customFormat="false" ht="13.8" hidden="false" customHeight="false" outlineLevel="0" collapsed="false">
      <c r="G48" s="2"/>
    </row>
    <row r="49" customFormat="false" ht="13.8" hidden="false" customHeight="false" outlineLevel="0" collapsed="false">
      <c r="G49" s="2"/>
    </row>
    <row r="50" customFormat="false" ht="13.8" hidden="false" customHeight="false" outlineLevel="0" collapsed="false">
      <c r="G50" s="2"/>
    </row>
    <row r="51" customFormat="false" ht="13.8" hidden="false" customHeight="false" outlineLevel="0" collapsed="false">
      <c r="G51" s="2"/>
    </row>
    <row r="52" customFormat="false" ht="13.8" hidden="false" customHeight="false" outlineLevel="0" collapsed="false">
      <c r="G52" s="11"/>
    </row>
    <row r="53" customFormat="false" ht="13.8" hidden="false" customHeight="false" outlineLevel="0" collapsed="false">
      <c r="G53" s="11"/>
    </row>
    <row r="54" customFormat="false" ht="13.8" hidden="false" customHeight="false" outlineLevel="0" collapsed="false">
      <c r="G54" s="11"/>
    </row>
    <row r="55" customFormat="false" ht="13.8" hidden="false" customHeight="false" outlineLevel="0" collapsed="false">
      <c r="G55" s="11"/>
    </row>
    <row r="56" customFormat="false" ht="13.8" hidden="false" customHeight="false" outlineLevel="0" collapsed="false">
      <c r="G56" s="2"/>
    </row>
    <row r="57" customFormat="false" ht="13.8" hidden="false" customHeight="false" outlineLevel="0" collapsed="false">
      <c r="G57" s="2"/>
    </row>
    <row r="58" customFormat="false" ht="13.8" hidden="false" customHeight="false" outlineLevel="0" collapsed="false">
      <c r="G58" s="2"/>
    </row>
    <row r="59" customFormat="false" ht="13.8" hidden="false" customHeight="false" outlineLevel="0" collapsed="false">
      <c r="G59" s="2"/>
    </row>
    <row r="60" customFormat="false" ht="13.8" hidden="false" customHeight="false" outlineLevel="0" collapsed="false">
      <c r="G60" s="2"/>
    </row>
    <row r="61" customFormat="false" ht="13.8" hidden="false" customHeight="false" outlineLevel="0" collapsed="false">
      <c r="G61" s="2"/>
    </row>
    <row r="62" customFormat="false" ht="13.8" hidden="false" customHeight="false" outlineLevel="0" collapsed="false">
      <c r="G62" s="2"/>
    </row>
    <row r="63" customFormat="false" ht="13.8" hidden="false" customHeight="false" outlineLevel="0" collapsed="false">
      <c r="G63" s="2"/>
    </row>
    <row r="64" customFormat="false" ht="13.8" hidden="false" customHeight="false" outlineLevel="0" collapsed="false">
      <c r="G64" s="2"/>
    </row>
    <row r="65" customFormat="false" ht="13.8" hidden="false" customHeight="false" outlineLevel="0" collapsed="false">
      <c r="G65" s="2"/>
    </row>
    <row r="66" customFormat="false" ht="13.8" hidden="false" customHeight="false" outlineLevel="0" collapsed="false">
      <c r="G66" s="2"/>
    </row>
    <row r="67" customFormat="false" ht="13.8" hidden="false" customHeight="false" outlineLevel="0" collapsed="false">
      <c r="G67" s="2"/>
    </row>
    <row r="68" customFormat="false" ht="13.8" hidden="false" customHeight="false" outlineLevel="0" collapsed="false">
      <c r="G68" s="2"/>
    </row>
    <row r="69" customFormat="false" ht="13.8" hidden="false" customHeight="false" outlineLevel="0" collapsed="false">
      <c r="G69" s="2"/>
    </row>
    <row r="70" customFormat="false" ht="13.8" hidden="false" customHeight="false" outlineLevel="0" collapsed="false">
      <c r="G70" s="2"/>
    </row>
    <row r="71" customFormat="false" ht="13.8" hidden="false" customHeight="false" outlineLevel="0" collapsed="false">
      <c r="G71" s="2"/>
    </row>
    <row r="72" customFormat="false" ht="13.8" hidden="false" customHeight="false" outlineLevel="0" collapsed="false">
      <c r="G72" s="2"/>
    </row>
    <row r="73" customFormat="false" ht="13.8" hidden="false" customHeight="false" outlineLevel="0" collapsed="false">
      <c r="G73" s="2"/>
    </row>
    <row r="74" customFormat="false" ht="13.8" hidden="false" customHeight="false" outlineLevel="0" collapsed="false">
      <c r="G74" s="2"/>
    </row>
    <row r="75" customFormat="false" ht="13.8" hidden="false" customHeight="false" outlineLevel="0" collapsed="false">
      <c r="G75" s="2"/>
    </row>
    <row r="76" customFormat="false" ht="13.8" hidden="false" customHeight="false" outlineLevel="0" collapsed="false">
      <c r="G76" s="2"/>
    </row>
    <row r="77" customFormat="false" ht="13.8" hidden="false" customHeight="false" outlineLevel="0" collapsed="false">
      <c r="G77" s="2"/>
    </row>
    <row r="78" customFormat="false" ht="13.8" hidden="false" customHeight="false" outlineLevel="0" collapsed="false">
      <c r="G78" s="2"/>
    </row>
    <row r="79" customFormat="false" ht="13.8" hidden="false" customHeight="false" outlineLevel="0" collapsed="false">
      <c r="G79" s="2"/>
    </row>
    <row r="80" customFormat="false" ht="13.8" hidden="false" customHeight="false" outlineLevel="0" collapsed="false">
      <c r="G80" s="11"/>
    </row>
    <row r="81" customFormat="false" ht="13.8" hidden="false" customHeight="false" outlineLevel="0" collapsed="false">
      <c r="G81" s="2"/>
    </row>
    <row r="82" customFormat="false" ht="13.8" hidden="false" customHeight="false" outlineLevel="0" collapsed="false">
      <c r="G82" s="2"/>
    </row>
    <row r="83" customFormat="false" ht="13.8" hidden="false" customHeight="false" outlineLevel="0" collapsed="false">
      <c r="G8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0.54296875" defaultRowHeight="15" zeroHeight="false" outlineLevelRow="0" outlineLevelCol="0"/>
  <cols>
    <col collapsed="false" customWidth="true" hidden="false" outlineLevel="0" max="1" min="1" style="0" width="22.6"/>
    <col collapsed="false" customWidth="true" hidden="false" outlineLevel="0" max="5" min="5" style="0" width="35.39"/>
    <col collapsed="false" customWidth="true" hidden="false" outlineLevel="0" max="6" min="6" style="0" width="34.4"/>
    <col collapsed="false" customWidth="true" hidden="false" outlineLevel="0" max="7" min="7" style="0" width="28.21"/>
    <col collapsed="false" customWidth="true" hidden="false" outlineLevel="0" max="8" min="8" style="0" width="23.48"/>
    <col collapsed="false" customWidth="true" hidden="false" outlineLevel="0" max="9" min="9" style="0" width="22.04"/>
    <col collapsed="false" customWidth="true" hidden="false" outlineLevel="0" max="10" min="10" style="0" width="14.77"/>
    <col collapsed="false" customWidth="true" hidden="false" outlineLevel="0" max="11" min="11" style="0" width="19.95"/>
  </cols>
  <sheetData>
    <row r="1" customFormat="false" ht="13.8" hidden="false" customHeight="false" outlineLevel="0" collapsed="false">
      <c r="A1" s="0" t="s">
        <v>135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112</v>
      </c>
      <c r="I1" s="0" t="s">
        <v>113</v>
      </c>
      <c r="J1" s="0" t="s">
        <v>112</v>
      </c>
      <c r="K1" s="0" t="s">
        <v>136</v>
      </c>
    </row>
    <row r="2" customFormat="false" ht="216.4" hidden="false" customHeight="false" outlineLevel="0" collapsed="false">
      <c r="A2" s="3" t="s">
        <v>188</v>
      </c>
      <c r="B2" s="4" t="n">
        <v>1E-005</v>
      </c>
      <c r="C2" s="3" t="s">
        <v>198</v>
      </c>
      <c r="E2" s="2" t="s">
        <v>199</v>
      </c>
      <c r="F2" s="3"/>
      <c r="G2" s="3"/>
      <c r="H2" s="5" t="s">
        <v>124</v>
      </c>
      <c r="I2" s="3" t="s">
        <v>144</v>
      </c>
      <c r="J2" s="3" t="s">
        <v>200</v>
      </c>
      <c r="K2" s="3"/>
    </row>
    <row r="3" customFormat="false" ht="216.4" hidden="false" customHeight="false" outlineLevel="0" collapsed="false">
      <c r="A3" s="3" t="s">
        <v>188</v>
      </c>
      <c r="B3" s="4" t="n">
        <v>1E-005</v>
      </c>
      <c r="C3" s="3" t="s">
        <v>198</v>
      </c>
      <c r="D3" s="5" t="n">
        <v>28463</v>
      </c>
      <c r="E3" s="2" t="s">
        <v>199</v>
      </c>
      <c r="F3" s="3"/>
      <c r="G3" s="3"/>
      <c r="H3" s="5" t="s">
        <v>124</v>
      </c>
      <c r="I3" s="3" t="s">
        <v>140</v>
      </c>
      <c r="J3" s="3" t="s">
        <v>200</v>
      </c>
      <c r="K3" s="3"/>
    </row>
    <row r="4" customFormat="false" ht="28.35" hidden="false" customHeight="false" outlineLevel="0" collapsed="false">
      <c r="A4" s="3" t="s">
        <v>188</v>
      </c>
      <c r="B4" s="4" t="n">
        <v>0.001</v>
      </c>
      <c r="C4" s="3" t="s">
        <v>198</v>
      </c>
      <c r="D4" s="5" t="n">
        <v>143983</v>
      </c>
      <c r="E4" s="3"/>
      <c r="F4" s="3"/>
      <c r="G4" s="3"/>
      <c r="H4" s="5" t="s">
        <v>124</v>
      </c>
      <c r="I4" s="3" t="s">
        <v>144</v>
      </c>
      <c r="J4" s="3" t="s">
        <v>200</v>
      </c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K2" activeCellId="0" sqref="K2"/>
    </sheetView>
  </sheetViews>
  <sheetFormatPr defaultColWidth="10.54296875" defaultRowHeight="15" zeroHeight="false" outlineLevelRow="0" outlineLevelCol="0"/>
  <cols>
    <col collapsed="false" customWidth="true" hidden="false" outlineLevel="0" max="1" min="1" style="0" width="15.87"/>
    <col collapsed="false" customWidth="true" hidden="false" outlineLevel="0" max="5" min="5" style="0" width="36.49"/>
    <col collapsed="false" customWidth="true" hidden="false" outlineLevel="0" max="6" min="6" style="0" width="68.25"/>
    <col collapsed="false" customWidth="true" hidden="false" outlineLevel="0" max="7" min="7" style="0" width="28.33"/>
    <col collapsed="false" customWidth="true" hidden="false" outlineLevel="0" max="10" min="10" style="0" width="28.11"/>
  </cols>
  <sheetData>
    <row r="1" customFormat="false" ht="13.8" hidden="false" customHeight="false" outlineLevel="0" collapsed="false">
      <c r="A1" s="0" t="s">
        <v>2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112</v>
      </c>
      <c r="I1" s="0" t="s">
        <v>113</v>
      </c>
      <c r="J1" s="0" t="s">
        <v>112</v>
      </c>
      <c r="K1" s="0" t="s">
        <v>136</v>
      </c>
    </row>
    <row r="2" customFormat="false" ht="471.6" hidden="false" customHeight="false" outlineLevel="0" collapsed="false">
      <c r="A2" s="3" t="s">
        <v>188</v>
      </c>
      <c r="B2" s="4" t="n">
        <v>0.001</v>
      </c>
      <c r="C2" s="3" t="s">
        <v>43</v>
      </c>
      <c r="D2" s="5" t="n">
        <v>2330</v>
      </c>
      <c r="E2" s="5" t="s">
        <v>201</v>
      </c>
      <c r="F2" s="5" t="s">
        <v>202</v>
      </c>
      <c r="G2" s="3" t="s">
        <v>203</v>
      </c>
      <c r="H2" s="5" t="s">
        <v>124</v>
      </c>
      <c r="I2" s="3" t="s">
        <v>144</v>
      </c>
      <c r="J2" s="5" t="s">
        <v>204</v>
      </c>
      <c r="K2" s="3" t="s">
        <v>194</v>
      </c>
    </row>
    <row r="3" customFormat="false" ht="471.6" hidden="false" customHeight="false" outlineLevel="0" collapsed="false">
      <c r="A3" s="3" t="s">
        <v>188</v>
      </c>
      <c r="B3" s="4" t="n">
        <v>1E-005</v>
      </c>
      <c r="C3" s="3" t="s">
        <v>43</v>
      </c>
      <c r="D3" s="5" t="n">
        <v>2745</v>
      </c>
      <c r="F3" s="5" t="s">
        <v>205</v>
      </c>
      <c r="G3" s="3" t="s">
        <v>206</v>
      </c>
      <c r="H3" s="5" t="s">
        <v>124</v>
      </c>
      <c r="I3" s="3" t="s">
        <v>144</v>
      </c>
      <c r="J3" s="5" t="s">
        <v>207</v>
      </c>
      <c r="K3" s="3" t="s">
        <v>194</v>
      </c>
    </row>
    <row r="4" customFormat="false" ht="471.6" hidden="false" customHeight="false" outlineLevel="0" collapsed="false">
      <c r="A4" s="3" t="s">
        <v>188</v>
      </c>
      <c r="B4" s="4" t="n">
        <v>1E-005</v>
      </c>
      <c r="C4" s="3" t="s">
        <v>43</v>
      </c>
      <c r="D4" s="5" t="n">
        <v>3334</v>
      </c>
      <c r="F4" s="5" t="s">
        <v>208</v>
      </c>
      <c r="G4" s="3" t="s">
        <v>209</v>
      </c>
      <c r="H4" s="5" t="s">
        <v>124</v>
      </c>
      <c r="I4" s="3" t="s">
        <v>140</v>
      </c>
      <c r="J4" s="5" t="s">
        <v>207</v>
      </c>
      <c r="K4" s="3" t="s">
        <v>194</v>
      </c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640625" defaultRowHeight="13.8" zeroHeight="false" outlineLevelRow="0" outlineLevelCol="0"/>
  <cols>
    <col collapsed="false" customWidth="true" hidden="false" outlineLevel="0" max="5" min="5" style="0" width="26.68"/>
    <col collapsed="false" customWidth="true" hidden="false" outlineLevel="0" max="6" min="6" style="0" width="26.35"/>
    <col collapsed="false" customWidth="true" hidden="false" outlineLevel="0" max="7" min="7" style="0" width="17.98"/>
    <col collapsed="false" customWidth="true" hidden="false" outlineLevel="0" max="8" min="8" style="0" width="13.45"/>
    <col collapsed="false" customWidth="true" hidden="false" outlineLevel="0" max="9" min="9" style="0" width="14.11"/>
    <col collapsed="false" customWidth="true" hidden="false" outlineLevel="0" max="10" min="10" style="0" width="30.87"/>
  </cols>
  <sheetData>
    <row r="1" customFormat="false" ht="13.8" hidden="false" customHeight="false" outlineLevel="0" collapsed="false">
      <c r="A1" s="0" t="s">
        <v>135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112</v>
      </c>
      <c r="I1" s="0" t="s">
        <v>113</v>
      </c>
      <c r="J1" s="0" t="s">
        <v>112</v>
      </c>
      <c r="K1" s="0" t="s">
        <v>136</v>
      </c>
    </row>
    <row r="2" customFormat="false" ht="364.15" hidden="false" customHeight="false" outlineLevel="0" collapsed="false">
      <c r="A2" s="3" t="s">
        <v>188</v>
      </c>
      <c r="B2" s="4" t="n">
        <v>1E-005</v>
      </c>
      <c r="C2" s="3" t="s">
        <v>198</v>
      </c>
      <c r="D2" s="5" t="n">
        <v>24841</v>
      </c>
      <c r="E2" s="5" t="s">
        <v>210</v>
      </c>
      <c r="G2" s="3" t="s">
        <v>211</v>
      </c>
      <c r="H2" s="5" t="s">
        <v>124</v>
      </c>
      <c r="I2" s="3" t="s">
        <v>144</v>
      </c>
      <c r="J2" s="5" t="s">
        <v>212</v>
      </c>
    </row>
    <row r="3" customFormat="false" ht="283.55" hidden="false" customHeight="false" outlineLevel="0" collapsed="false">
      <c r="A3" s="12" t="s">
        <v>213</v>
      </c>
      <c r="B3" s="4" t="n">
        <v>1E-005</v>
      </c>
      <c r="C3" s="3" t="s">
        <v>198</v>
      </c>
      <c r="D3" s="5" t="n">
        <v>25103</v>
      </c>
      <c r="E3" s="2"/>
      <c r="G3" s="3" t="s">
        <v>214</v>
      </c>
      <c r="H3" s="5" t="s">
        <v>124</v>
      </c>
      <c r="I3" s="3" t="s">
        <v>140</v>
      </c>
      <c r="J3" s="5" t="s">
        <v>212</v>
      </c>
    </row>
    <row r="4" customFormat="false" ht="13.8" hidden="false" customHeight="false" outlineLevel="0" collapsed="false">
      <c r="E4" s="11"/>
    </row>
    <row r="5" customFormat="false" ht="13.8" hidden="false" customHeight="false" outlineLevel="0" collapsed="false">
      <c r="E5" s="11"/>
    </row>
    <row r="6" customFormat="false" ht="13.8" hidden="false" customHeight="false" outlineLevel="0" collapsed="false">
      <c r="E6" s="11"/>
    </row>
    <row r="7" customFormat="false" ht="13.8" hidden="false" customHeight="false" outlineLevel="0" collapsed="false">
      <c r="E7" s="2"/>
    </row>
    <row r="8" customFormat="false" ht="13.8" hidden="false" customHeight="false" outlineLevel="0" collapsed="false">
      <c r="E8" s="2"/>
    </row>
    <row r="9" customFormat="false" ht="13.8" hidden="false" customHeight="false" outlineLevel="0" collapsed="false">
      <c r="E9" s="2"/>
    </row>
    <row r="10" customFormat="false" ht="13.8" hidden="false" customHeight="false" outlineLevel="0" collapsed="false">
      <c r="E10" s="2"/>
    </row>
    <row r="11" customFormat="false" ht="13.8" hidden="false" customHeight="false" outlineLevel="0" collapsed="false">
      <c r="E11" s="2"/>
    </row>
    <row r="12" customFormat="false" ht="13.8" hidden="false" customHeight="false" outlineLevel="0" collapsed="false">
      <c r="E12" s="2"/>
    </row>
    <row r="13" customFormat="false" ht="13.8" hidden="false" customHeight="false" outlineLevel="0" collapsed="false">
      <c r="E13" s="2"/>
    </row>
    <row r="14" customFormat="false" ht="13.8" hidden="false" customHeight="false" outlineLevel="0" collapsed="false">
      <c r="E14" s="2"/>
    </row>
    <row r="15" customFormat="false" ht="13.8" hidden="false" customHeight="false" outlineLevel="0" collapsed="false">
      <c r="E15" s="11"/>
    </row>
    <row r="16" customFormat="false" ht="13.8" hidden="false" customHeight="false" outlineLevel="0" collapsed="false">
      <c r="E16" s="11"/>
    </row>
    <row r="17" customFormat="false" ht="13.8" hidden="false" customHeight="false" outlineLevel="0" collapsed="false">
      <c r="E17" s="2"/>
    </row>
    <row r="18" customFormat="false" ht="13.8" hidden="false" customHeight="false" outlineLevel="0" collapsed="false">
      <c r="E18" s="2"/>
    </row>
    <row r="19" customFormat="false" ht="13.8" hidden="false" customHeight="false" outlineLevel="0" collapsed="false">
      <c r="E19" s="11"/>
    </row>
    <row r="20" customFormat="false" ht="13.8" hidden="false" customHeight="false" outlineLevel="0" collapsed="false">
      <c r="E20" s="2"/>
    </row>
    <row r="21" customFormat="false" ht="13.8" hidden="false" customHeight="false" outlineLevel="0" collapsed="false">
      <c r="E21" s="2"/>
    </row>
    <row r="22" customFormat="false" ht="13.8" hidden="false" customHeight="false" outlineLevel="0" collapsed="false">
      <c r="E22" s="2"/>
    </row>
    <row r="23" customFormat="false" ht="13.8" hidden="false" customHeight="false" outlineLevel="0" collapsed="false">
      <c r="E23" s="2"/>
    </row>
    <row r="24" customFormat="false" ht="13.8" hidden="false" customHeight="false" outlineLevel="0" collapsed="false">
      <c r="E24" s="2"/>
    </row>
    <row r="25" customFormat="false" ht="13.8" hidden="false" customHeight="false" outlineLevel="0" collapsed="false">
      <c r="E25" s="2"/>
    </row>
    <row r="26" customFormat="false" ht="13.8" hidden="false" customHeight="false" outlineLevel="0" collapsed="false">
      <c r="E26" s="11"/>
    </row>
    <row r="27" customFormat="false" ht="13.8" hidden="false" customHeight="false" outlineLevel="0" collapsed="false">
      <c r="E27" s="2"/>
    </row>
    <row r="28" customFormat="false" ht="13.8" hidden="false" customHeight="false" outlineLevel="0" collapsed="false">
      <c r="E28" s="2"/>
    </row>
    <row r="29" customFormat="false" ht="13.8" hidden="false" customHeight="false" outlineLevel="0" collapsed="false">
      <c r="E29" s="11"/>
    </row>
    <row r="30" customFormat="false" ht="13.8" hidden="false" customHeight="false" outlineLevel="0" collapsed="false">
      <c r="E30" s="2"/>
    </row>
    <row r="31" customFormat="false" ht="13.8" hidden="false" customHeight="false" outlineLevel="0" collapsed="false">
      <c r="E31" s="2"/>
    </row>
    <row r="32" customFormat="false" ht="13.8" hidden="false" customHeight="false" outlineLevel="0" collapsed="false">
      <c r="E32" s="2"/>
    </row>
    <row r="33" customFormat="false" ht="13.8" hidden="false" customHeight="false" outlineLevel="0" collapsed="false">
      <c r="E33" s="2"/>
    </row>
    <row r="34" customFormat="false" ht="13.8" hidden="false" customHeight="false" outlineLevel="0" collapsed="false">
      <c r="E34" s="2"/>
    </row>
    <row r="35" customFormat="false" ht="13.8" hidden="false" customHeight="false" outlineLevel="0" collapsed="false">
      <c r="E35" s="2"/>
    </row>
    <row r="36" customFormat="false" ht="13.8" hidden="false" customHeight="false" outlineLevel="0" collapsed="false">
      <c r="E36" s="11"/>
    </row>
    <row r="37" customFormat="false" ht="13.8" hidden="false" customHeight="false" outlineLevel="0" collapsed="false">
      <c r="E37" s="2"/>
    </row>
    <row r="38" customFormat="false" ht="13.8" hidden="false" customHeight="false" outlineLevel="0" collapsed="false">
      <c r="E38" s="2"/>
    </row>
    <row r="39" customFormat="false" ht="13.8" hidden="false" customHeight="false" outlineLevel="0" collapsed="false">
      <c r="E39" s="2"/>
    </row>
    <row r="40" customFormat="false" ht="13.8" hidden="false" customHeight="false" outlineLevel="0" collapsed="false">
      <c r="E40" s="2"/>
    </row>
    <row r="41" customFormat="false" ht="13.8" hidden="false" customHeight="false" outlineLevel="0" collapsed="false">
      <c r="E41" s="11"/>
    </row>
    <row r="42" customFormat="false" ht="13.8" hidden="false" customHeight="false" outlineLevel="0" collapsed="false">
      <c r="E42" s="2"/>
    </row>
    <row r="43" customFormat="false" ht="13.8" hidden="false" customHeight="false" outlineLevel="0" collapsed="false">
      <c r="E43" s="2"/>
    </row>
    <row r="44" customFormat="false" ht="13.8" hidden="false" customHeight="false" outlineLevel="0" collapsed="false">
      <c r="E44" s="2"/>
    </row>
    <row r="45" customFormat="false" ht="13.8" hidden="false" customHeight="false" outlineLevel="0" collapsed="false">
      <c r="E45" s="11"/>
    </row>
    <row r="46" customFormat="false" ht="13.8" hidden="false" customHeight="false" outlineLevel="0" collapsed="false">
      <c r="E46" s="11"/>
    </row>
    <row r="47" customFormat="false" ht="13.8" hidden="false" customHeight="false" outlineLevel="0" collapsed="false">
      <c r="E47" s="2"/>
    </row>
    <row r="48" customFormat="false" ht="13.8" hidden="false" customHeight="false" outlineLevel="0" collapsed="false">
      <c r="E48" s="2"/>
    </row>
    <row r="49" customFormat="false" ht="13.8" hidden="false" customHeight="false" outlineLevel="0" collapsed="false">
      <c r="E49" s="2"/>
    </row>
    <row r="50" customFormat="false" ht="13.8" hidden="false" customHeight="false" outlineLevel="0" collapsed="false">
      <c r="E50" s="2"/>
    </row>
    <row r="51" customFormat="false" ht="13.8" hidden="false" customHeight="false" outlineLevel="0" collapsed="false">
      <c r="E51" s="2"/>
    </row>
    <row r="52" customFormat="false" ht="13.8" hidden="false" customHeight="false" outlineLevel="0" collapsed="false">
      <c r="E52" s="2"/>
    </row>
    <row r="53" customFormat="false" ht="13.8" hidden="false" customHeight="false" outlineLevel="0" collapsed="false">
      <c r="E5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9.1640625" defaultRowHeight="12.8" zeroHeight="false" outlineLevelRow="0" outlineLevelCol="0"/>
  <cols>
    <col collapsed="false" customWidth="true" hidden="false" outlineLevel="0" max="5" min="5" style="0" width="30.21"/>
    <col collapsed="false" customWidth="true" hidden="false" outlineLevel="0" max="6" min="6" style="0" width="21.28"/>
    <col collapsed="false" customWidth="true" hidden="false" outlineLevel="0" max="7" min="7" style="0" width="27.12"/>
    <col collapsed="false" customWidth="true" hidden="false" outlineLevel="0" max="8" min="8" style="0" width="24.91"/>
    <col collapsed="false" customWidth="true" hidden="false" outlineLevel="0" max="9" min="9" style="0" width="26.68"/>
    <col collapsed="false" customWidth="true" hidden="false" outlineLevel="0" max="10" min="10" style="0" width="21.04"/>
    <col collapsed="false" customWidth="true" hidden="false" outlineLevel="0" max="11" min="11" style="0" width="17.74"/>
  </cols>
  <sheetData>
    <row r="1" customFormat="false" ht="13.8" hidden="false" customHeight="false" outlineLevel="0" collapsed="false">
      <c r="A1" s="0" t="s">
        <v>135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112</v>
      </c>
      <c r="I1" s="0" t="s">
        <v>113</v>
      </c>
      <c r="J1" s="0" t="s">
        <v>112</v>
      </c>
      <c r="K1" s="0" t="s">
        <v>136</v>
      </c>
      <c r="L1" s="0" t="s">
        <v>169</v>
      </c>
    </row>
    <row r="2" customFormat="false" ht="605.95" hidden="false" customHeight="false" outlineLevel="0" collapsed="false">
      <c r="A2" s="3" t="s">
        <v>188</v>
      </c>
      <c r="B2" s="4" t="n">
        <v>1E-005</v>
      </c>
      <c r="C2" s="3" t="s">
        <v>198</v>
      </c>
      <c r="D2" s="5" t="n">
        <v>29903</v>
      </c>
      <c r="E2" s="5" t="s">
        <v>215</v>
      </c>
      <c r="G2" s="3" t="s">
        <v>216</v>
      </c>
      <c r="H2" s="5" t="s">
        <v>124</v>
      </c>
      <c r="I2" s="3" t="s">
        <v>144</v>
      </c>
      <c r="J2" s="5" t="s">
        <v>217</v>
      </c>
      <c r="L2" s="5" t="s">
        <v>218</v>
      </c>
    </row>
    <row r="3" customFormat="false" ht="377.6" hidden="false" customHeight="false" outlineLevel="0" collapsed="false">
      <c r="A3" s="3" t="s">
        <v>188</v>
      </c>
      <c r="B3" s="4" t="n">
        <v>1E-005</v>
      </c>
      <c r="C3" s="3" t="s">
        <v>198</v>
      </c>
      <c r="D3" s="5" t="n">
        <v>27121</v>
      </c>
      <c r="G3" s="3" t="s">
        <v>219</v>
      </c>
      <c r="H3" s="5" t="s">
        <v>124</v>
      </c>
      <c r="I3" s="3" t="s">
        <v>140</v>
      </c>
      <c r="J3" s="5" t="s">
        <v>217</v>
      </c>
      <c r="L3" s="5" t="s">
        <v>218</v>
      </c>
    </row>
    <row r="4" customFormat="false" ht="41.75" hidden="false" customHeight="false" outlineLevel="0" collapsed="false">
      <c r="A4" s="3" t="s">
        <v>188</v>
      </c>
      <c r="B4" s="4" t="n">
        <v>1E-005</v>
      </c>
      <c r="C4" s="3" t="s">
        <v>198</v>
      </c>
      <c r="D4" s="5" t="n">
        <v>27372</v>
      </c>
      <c r="H4" s="5" t="s">
        <v>124</v>
      </c>
      <c r="I4" s="3" t="s">
        <v>140</v>
      </c>
      <c r="L4" s="5" t="s">
        <v>220</v>
      </c>
    </row>
    <row r="5" customFormat="false" ht="41.75" hidden="false" customHeight="false" outlineLevel="0" collapsed="false">
      <c r="A5" s="3" t="s">
        <v>188</v>
      </c>
      <c r="B5" s="4" t="n">
        <v>1E-005</v>
      </c>
      <c r="C5" s="3" t="s">
        <v>198</v>
      </c>
      <c r="D5" s="5" t="n">
        <v>27230</v>
      </c>
      <c r="H5" s="5" t="s">
        <v>124</v>
      </c>
      <c r="I5" s="3" t="s">
        <v>144</v>
      </c>
      <c r="L5" s="5" t="s">
        <v>220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L4" activeCellId="0" sqref="L4"/>
    </sheetView>
  </sheetViews>
  <sheetFormatPr defaultColWidth="9.1640625" defaultRowHeight="12.8" zeroHeight="false" outlineLevelRow="0" outlineLevelCol="0"/>
  <cols>
    <col collapsed="false" customWidth="true" hidden="false" outlineLevel="0" max="5" min="5" style="0" width="40.57"/>
    <col collapsed="false" customWidth="true" hidden="false" outlineLevel="0" max="6" min="6" style="0" width="45.98"/>
    <col collapsed="false" customWidth="true" hidden="false" outlineLevel="0" max="7" min="7" style="0" width="20.94"/>
    <col collapsed="false" customWidth="true" hidden="false" outlineLevel="0" max="8" min="8" style="0" width="14.33"/>
    <col collapsed="false" customWidth="true" hidden="false" outlineLevel="0" max="9" min="9" style="0" width="21.04"/>
    <col collapsed="false" customWidth="true" hidden="false" outlineLevel="0" max="10" min="10" style="0" width="24.47"/>
    <col collapsed="false" customWidth="true" hidden="false" outlineLevel="0" max="11" min="11" style="0" width="14.77"/>
    <col collapsed="false" customWidth="true" hidden="false" outlineLevel="0" max="12" min="12" style="0" width="18.63"/>
  </cols>
  <sheetData>
    <row r="1" customFormat="false" ht="13.8" hidden="false" customHeight="false" outlineLevel="0" collapsed="false">
      <c r="A1" s="0" t="s">
        <v>2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112</v>
      </c>
      <c r="I1" s="0" t="s">
        <v>113</v>
      </c>
      <c r="J1" s="0" t="s">
        <v>112</v>
      </c>
      <c r="K1" s="0" t="s">
        <v>136</v>
      </c>
      <c r="L1" s="0" t="s">
        <v>169</v>
      </c>
    </row>
    <row r="2" customFormat="false" ht="337.3" hidden="false" customHeight="false" outlineLevel="0" collapsed="false">
      <c r="A2" s="3" t="s">
        <v>188</v>
      </c>
      <c r="B2" s="4" t="n">
        <v>1E-005</v>
      </c>
      <c r="C2" s="3" t="s">
        <v>43</v>
      </c>
      <c r="D2" s="13" t="n">
        <v>772</v>
      </c>
      <c r="E2" s="5" t="s">
        <v>221</v>
      </c>
      <c r="F2" s="5" t="s">
        <v>222</v>
      </c>
      <c r="G2" s="3" t="s">
        <v>223</v>
      </c>
      <c r="H2" s="5" t="s">
        <v>124</v>
      </c>
      <c r="I2" s="3" t="s">
        <v>140</v>
      </c>
      <c r="J2" s="5" t="s">
        <v>224</v>
      </c>
      <c r="K2" s="3" t="s">
        <v>225</v>
      </c>
      <c r="L2" s="5" t="s">
        <v>226</v>
      </c>
    </row>
    <row r="3" customFormat="false" ht="337.3" hidden="false" customHeight="false" outlineLevel="0" collapsed="false">
      <c r="A3" s="3" t="s">
        <v>188</v>
      </c>
      <c r="B3" s="4" t="n">
        <v>1E-005</v>
      </c>
      <c r="C3" s="3" t="s">
        <v>43</v>
      </c>
      <c r="D3" s="5" t="n">
        <v>595</v>
      </c>
      <c r="F3" s="5" t="s">
        <v>227</v>
      </c>
      <c r="G3" s="3" t="s">
        <v>228</v>
      </c>
      <c r="H3" s="5" t="s">
        <v>124</v>
      </c>
      <c r="I3" s="3" t="s">
        <v>144</v>
      </c>
      <c r="J3" s="5" t="s">
        <v>224</v>
      </c>
      <c r="K3" s="3" t="s">
        <v>225</v>
      </c>
      <c r="L3" s="5" t="s">
        <v>226</v>
      </c>
    </row>
    <row r="4" customFormat="false" ht="337.3" hidden="false" customHeight="false" outlineLevel="0" collapsed="false">
      <c r="A4" s="3" t="s">
        <v>188</v>
      </c>
      <c r="B4" s="4" t="n">
        <v>1E-005</v>
      </c>
      <c r="C4" s="14" t="s">
        <v>43</v>
      </c>
      <c r="D4" s="14" t="n">
        <v>1649</v>
      </c>
      <c r="F4" s="5" t="s">
        <v>229</v>
      </c>
      <c r="H4" s="5" t="s">
        <v>124</v>
      </c>
      <c r="I4" s="3" t="s">
        <v>140</v>
      </c>
      <c r="J4" s="5" t="s">
        <v>224</v>
      </c>
      <c r="L4" s="5" t="s">
        <v>230</v>
      </c>
    </row>
    <row r="5" customFormat="false" ht="337.3" hidden="false" customHeight="false" outlineLevel="0" collapsed="false">
      <c r="A5" s="3" t="s">
        <v>188</v>
      </c>
      <c r="B5" s="4" t="n">
        <v>1E-005</v>
      </c>
      <c r="C5" s="3" t="s">
        <v>43</v>
      </c>
      <c r="D5" s="3" t="n">
        <v>1421</v>
      </c>
      <c r="E5" s="3"/>
      <c r="F5" s="5" t="s">
        <v>231</v>
      </c>
      <c r="G5" s="3" t="s">
        <v>232</v>
      </c>
      <c r="H5" s="5" t="s">
        <v>124</v>
      </c>
      <c r="I5" s="3" t="s">
        <v>144</v>
      </c>
      <c r="J5" s="5" t="s">
        <v>224</v>
      </c>
      <c r="K5" s="2"/>
      <c r="L5" s="5" t="s">
        <v>230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76968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2025-02-26T15:57:16Z</dcterms:created>
  <dc:creator>Viktoria Korn</dc:creator>
  <dc:description/>
  <dc:language>en-US</dc:language>
  <cp:lastModifiedBy/>
  <dcterms:modified xsi:type="dcterms:W3CDTF">2025-09-25T17:10:20Z</dcterms:modified>
  <cp:revision>118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